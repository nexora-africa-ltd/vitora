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C UAT Checklist " sheetId="1" r:id="rId5"/>
    <sheet state="visible" name="SHIF UAT Checklist " sheetId="2" r:id="rId6"/>
    <sheet state="visible" name="ECCIF UAT Checklist " sheetId="3" r:id="rId7"/>
    <sheet state="hidden" name="Awareness and Education" sheetId="4" r:id="rId8"/>
    <sheet state="hidden" name="Registration, Search, Queues" sheetId="5" r:id="rId9"/>
    <sheet state="hidden" name="Breast Screening" sheetId="6" r:id="rId10"/>
    <sheet state="hidden" name="Cervical Screening" sheetId="7" r:id="rId11"/>
    <sheet state="hidden" name="Reporting " sheetId="8" r:id="rId12"/>
  </sheets>
  <definedNames/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<sst xmlns="http://schemas.openxmlformats.org/spreadsheetml/2006/main" count="4062" uniqueCount="522">
  <si>
    <t>Statistics</t>
  </si>
  <si>
    <t>Passed</t>
  </si>
  <si>
    <t>All</t>
  </si>
  <si>
    <t>% Completion</t>
  </si>
  <si>
    <t>Item</t>
  </si>
  <si>
    <t>Task</t>
  </si>
  <si>
    <t>Description</t>
  </si>
  <si>
    <t>Sub tasks / Validations</t>
  </si>
  <si>
    <t>Notes</t>
  </si>
  <si>
    <t>PHC Claims</t>
  </si>
  <si>
    <t>Set Up</t>
  </si>
  <si>
    <t>Setup of HIE APIs developer environment access and credentials</t>
  </si>
  <si>
    <t>Get set up as a user to the UAT environment and get access to credentials</t>
  </si>
  <si>
    <t>-</t>
  </si>
  <si>
    <t>Authentication and getting access token</t>
  </si>
  <si>
    <t>Be able to share client credentials and get a valid access token for sending authenticated requests</t>
  </si>
  <si>
    <t>Get access token</t>
  </si>
  <si>
    <t>Integrate Health Worker Registry</t>
  </si>
  <si>
    <t>Be able to set up health wotker registry and fetch details of any health worker</t>
  </si>
  <si>
    <t>Fetch using registration number</t>
  </si>
  <si>
    <t>Fetch using national ID</t>
  </si>
  <si>
    <t>Fetch CoC member</t>
  </si>
  <si>
    <t>Integrate Facility Registry</t>
  </si>
  <si>
    <t>Be able to set up facility registry and fetch info on any health facility</t>
  </si>
  <si>
    <t>Fetch using facility fr code</t>
  </si>
  <si>
    <t>Fetch using name</t>
  </si>
  <si>
    <t>Fetch using facility registration number</t>
  </si>
  <si>
    <t>Fetch using facility fid code</t>
  </si>
  <si>
    <t>Member Identification &amp; Start Visit</t>
  </si>
  <si>
    <t>Search for a patient on Client Registry</t>
  </si>
  <si>
    <t>Be able to search for a patient on client registry</t>
  </si>
  <si>
    <t>Successfully search patient with national ID</t>
  </si>
  <si>
    <t>Successfully search patient with birth certificate number</t>
  </si>
  <si>
    <t>Successfully search patient with alien ID</t>
  </si>
  <si>
    <t xml:space="preserve">Successfully search patient with Mandate Number </t>
  </si>
  <si>
    <t>Successfully search patient with refugee ID</t>
  </si>
  <si>
    <t>Search patient with temporary ID</t>
  </si>
  <si>
    <t>Search patient with CR ID</t>
  </si>
  <si>
    <t>Check member Eligibility (Coverage)</t>
  </si>
  <si>
    <t>Be able to check the coverage status of a specific patient</t>
  </si>
  <si>
    <t>Determine member benefits, subbenefit, intervention based off eligibility info</t>
  </si>
  <si>
    <t xml:space="preserve">Be able to check eleigible benefits of a patient </t>
  </si>
  <si>
    <t>Level 2 facilities to show PHC interventions only</t>
  </si>
  <si>
    <t>Level 2 facilites to show maternity benefits for female patients</t>
  </si>
  <si>
    <t>Level 3 facilities to show PHC interventions only</t>
  </si>
  <si>
    <t>Level 3 facilites to show maternity benefits for female patients</t>
  </si>
  <si>
    <t>If member eligible but not paid, show PHC and maternity only</t>
  </si>
  <si>
    <t>Request OTP consent for member</t>
  </si>
  <si>
    <t xml:space="preserve">Be able to send an OTP for patient's consent </t>
  </si>
  <si>
    <t>Send OTP to patient if whitelisted</t>
  </si>
  <si>
    <t>Start visit for member</t>
  </si>
  <si>
    <t xml:space="preserve">Be able to recieve OTP from the member, validate it and create a virtual claim </t>
  </si>
  <si>
    <t xml:space="preserve">Verify OTP </t>
  </si>
  <si>
    <t>If OTP visit confirm if patient is OTP whitelisted</t>
  </si>
  <si>
    <t>If OTP visit confirm if facility is biometrics enforced</t>
  </si>
  <si>
    <t>Check if facility has vacant beds - inpatient - including checks for dialysis, HDU, ICU beds</t>
  </si>
  <si>
    <t>Check if patient is admitted in another facility before starting inpatient visit</t>
  </si>
  <si>
    <t>Check if patient has another active visit in the same hospital with the same access point (inpatient/outpatient)</t>
  </si>
  <si>
    <t>Check If patient is deceased</t>
  </si>
  <si>
    <t>Register an Authorization on successful OTP verification</t>
  </si>
  <si>
    <t xml:space="preserve">Bundle up necessary information to create a claim </t>
  </si>
  <si>
    <t>Allow only one capitation claim, per patient, per day for the same facility</t>
  </si>
  <si>
    <t>Intervention management</t>
  </si>
  <si>
    <t>Retire a SHA intervention</t>
  </si>
  <si>
    <t>Be able to retire a specific SHA intervention from an existing claim</t>
  </si>
  <si>
    <t>Can only retire an intervention if claim has more than one intervention</t>
  </si>
  <si>
    <t>Intervention being retired should not have a bill item</t>
  </si>
  <si>
    <t>Add a SHA intervention</t>
  </si>
  <si>
    <t>Be able to add a SHA intervention to an existing claim if it aligns with combination matrix</t>
  </si>
  <si>
    <t>You can't mix, IP and OP intervention in the same claim</t>
  </si>
  <si>
    <t>Can't mix Capitation invtervention with other payment mechanism</t>
  </si>
  <si>
    <t>Restore a SHA intervention</t>
  </si>
  <si>
    <t>Be able to restore a specific SHA intervention from an existing claim</t>
  </si>
  <si>
    <t>Must align to the SHA combination rules</t>
  </si>
  <si>
    <t>Can only switch to an intervention with the same access point</t>
  </si>
  <si>
    <t xml:space="preserve">Billing </t>
  </si>
  <si>
    <t>Add claim billing line</t>
  </si>
  <si>
    <t>Be able to add invoice line to a claim's invoice</t>
  </si>
  <si>
    <t>Add claim attachment</t>
  </si>
  <si>
    <t>Be able to add an attachment to a claim</t>
  </si>
  <si>
    <t>Get List of diagnosis codes</t>
  </si>
  <si>
    <t>List ICD 11 diagnosis codes</t>
  </si>
  <si>
    <t>Add claim diagnosis</t>
  </si>
  <si>
    <t>Add a diagnosis for an intervention</t>
  </si>
  <si>
    <t>Must be an allowed capitation diagnosis</t>
  </si>
  <si>
    <t>Add combined billing details</t>
  </si>
  <si>
    <t>Add all billing details (Claim line + diagnosis + attachments) in one enpoint</t>
  </si>
  <si>
    <t xml:space="preserve">- </t>
  </si>
  <si>
    <t>Remove claim line</t>
  </si>
  <si>
    <t>Remove a claim billing line</t>
  </si>
  <si>
    <t>Can only be remove if a claim is in DRAFT status</t>
  </si>
  <si>
    <t>Remove claim attachment</t>
  </si>
  <si>
    <t>Add a valid attachment</t>
  </si>
  <si>
    <t>Remove claim diagnosis</t>
  </si>
  <si>
    <t>Remove an ICD 11 code for a specific intervention from a claim</t>
  </si>
  <si>
    <t>Preview provider claim</t>
  </si>
  <si>
    <t>Be able to preview the claim during a visit just before submitting to payer</t>
  </si>
  <si>
    <t>Preview payer claim</t>
  </si>
  <si>
    <t>Be able to preview the claim as is received by the payer including any status updates</t>
  </si>
  <si>
    <t>Claim must first be submitted to payer</t>
  </si>
  <si>
    <t>Using provider claim number</t>
  </si>
  <si>
    <t>Using guid</t>
  </si>
  <si>
    <t>Claim Submission</t>
  </si>
  <si>
    <t>Submit outpatient cliam</t>
  </si>
  <si>
    <t>Send a claim from an outpatient visit to the payer</t>
  </si>
  <si>
    <t>Claim should have at least one diagnosis before submission</t>
  </si>
  <si>
    <t>Must have previewed the provider claim at least once before submission</t>
  </si>
  <si>
    <t>Must have an invoice number</t>
  </si>
  <si>
    <t>Close claim</t>
  </si>
  <si>
    <t>Close a claim that is no longer planned to be submitted to payer</t>
  </si>
  <si>
    <t>Claim must be in DRAFT status</t>
  </si>
  <si>
    <t>SHIF Claims</t>
  </si>
  <si>
    <t>Successfully search patient with birth notification</t>
  </si>
  <si>
    <t>Get PMF balances</t>
  </si>
  <si>
    <t>Show civil servant PMF balances</t>
  </si>
  <si>
    <t>For level 4 facilities only selected providers can offer CAPITATION interventions</t>
  </si>
  <si>
    <t>For level 4 facilities, If patient not paid, access PHC iinterventions only for selected providers</t>
  </si>
  <si>
    <t>For level 5 and 6, PMF benefits shown for eligible civil servants, else only UHC benefits</t>
  </si>
  <si>
    <t>If paid member to access in-patient</t>
  </si>
  <si>
    <t>If member is TSC, and facility is part of TSC hospital panel, show UHC and TSC specific interventions</t>
  </si>
  <si>
    <t>If member is PMF show UHC and PMF only interventions</t>
  </si>
  <si>
    <t>Request for biometrics consent for member</t>
  </si>
  <si>
    <t>Be able to start a visit using biometrics</t>
  </si>
  <si>
    <t>Enable biometrics auth for enforced facilities</t>
  </si>
  <si>
    <t>Adults who are enrolled using SIL biometrics can use it to start a visit</t>
  </si>
  <si>
    <t>Start outpatient visit for member</t>
  </si>
  <si>
    <t>Verify OTP</t>
  </si>
  <si>
    <t>Start inpatient visit for member</t>
  </si>
  <si>
    <t>Interventions selected meet code combinations rule</t>
  </si>
  <si>
    <t>Admission date should be date of claim being created on start visit / switch interventions</t>
  </si>
  <si>
    <t>Create an inpatient claim from switching interventions from OP to IP</t>
  </si>
  <si>
    <t>You can't add an interventions that require elective preauths</t>
  </si>
  <si>
    <t>You cannot mix per diem and surgical interventions</t>
  </si>
  <si>
    <t>If active interventions is surgical, cannot restore a per diem intervention and vice versa</t>
  </si>
  <si>
    <t>Must not have a surgical intervention with per diem in same claim</t>
  </si>
  <si>
    <t>Must not have more than one active per diem intervention in the same claim</t>
  </si>
  <si>
    <t>Switch a SHA intervention</t>
  </si>
  <si>
    <t>Be able to switch a specific SHA intervention for another from an existing claim</t>
  </si>
  <si>
    <t>Can’t switch to an intervention that requires an elective preauth</t>
  </si>
  <si>
    <t>Can retain bill items and diagnosis unless switching from per diem to surgical</t>
  </si>
  <si>
    <t>Must follow SHA combination rules</t>
  </si>
  <si>
    <t>Preauthorization (Assumes HMIS Supports preauth workflows)</t>
  </si>
  <si>
    <t>Create a general/normal preauth request</t>
  </si>
  <si>
    <t>Be able to create a preauth request for a specific intervention that requires a preauthorization</t>
  </si>
  <si>
    <t>Must have at least one diagnosis</t>
  </si>
  <si>
    <t>Must have at least one bill item</t>
  </si>
  <si>
    <t>Must have at least one attachment</t>
  </si>
  <si>
    <t>Must have at least one valid doctor who has a valid license</t>
  </si>
  <si>
    <t>If UHC, overall bill amount should be less than keph level tariff or overall tariff</t>
  </si>
  <si>
    <t>If PMF, overall bill amount should be less than keph tarriff + PMF balance</t>
  </si>
  <si>
    <t>If TSC and in TSC hospital panel, overall bill amount should be less than keph tarriff + TSC balance</t>
  </si>
  <si>
    <t>Some interventions require doctor’s consent</t>
  </si>
  <si>
    <t>Some interventions require consent from multiple doctors</t>
  </si>
  <si>
    <t>Send an approval request to a doctor via the Practice360 app for their approval</t>
  </si>
  <si>
    <t>Be able to send a doctor approval request to Practice360 app</t>
  </si>
  <si>
    <t>Doctor should have a valid doctor's license</t>
  </si>
  <si>
    <t xml:space="preserve"> Certain doctors can't approve certain intervention (only select doctors can approve certain preauths) e.g some require a surgeon</t>
  </si>
  <si>
    <t>Once request is sent, one can't edit anything in preauth except add/remove attachment</t>
  </si>
  <si>
    <t>Doctor should be register with Practise360 app</t>
  </si>
  <si>
    <t>Sync doctor request feedback from doctor back to HMIS</t>
  </si>
  <si>
    <t>Be able to recieve approval or rejection back to the HMIS and the preauth status</t>
  </si>
  <si>
    <t>Create a renal preauth</t>
  </si>
  <si>
    <t>Requires doctor’s consent</t>
  </si>
  <si>
    <t>Have a start date of first session</t>
  </si>
  <si>
    <t>Should have a renal preauth form with:
- number_of_sessions_required
- frequency_of_sessions
- clinical_indications
- is_co_insured</t>
  </si>
  <si>
    <t>Create an oncology preauth</t>
  </si>
  <si>
    <t xml:space="preserve">Should have an oncology preauth form with:
- is_co_insured
- carcinoma_staging
- comorbidity
- metastases
- progress_report
- treatment_setting
start_date
number_of_sessions
Cost_per_session
</t>
  </si>
  <si>
    <t>Create an optical preauth</t>
  </si>
  <si>
    <t>Requires the following extra information:
- New_or_replacement
- lens_prescription
- consultation_amount
- consultation_description
- eye_examination_amount
- eye_examination_description
 - frame_amount
- frame_description
- lens_amount
- lens_description
- Necessity_of_service</t>
  </si>
  <si>
    <r>
      <rPr>
        <rFont val="Assistant"/>
        <sz val="10.0"/>
      </rPr>
      <t xml:space="preserve">Conforms to the defined data model dictated by the API </t>
    </r>
    <r>
      <rPr>
        <rFont val="Assistant"/>
        <color rgb="FF1155CC"/>
        <sz val="10.0"/>
        <u/>
      </rPr>
      <t>https://www.figma.com/board/ldGBNHjdf7WtiZE2SyenZn/HIE--Billing-Integration-Workflows?node-id=45-734&amp;t=pnuxAOzOqEF2Wr3N-4</t>
    </r>
    <r>
      <rPr>
        <rFont val="Assistant"/>
        <sz val="10.0"/>
      </rPr>
      <t xml:space="preserve"> 
</t>
    </r>
  </si>
  <si>
    <t>Create a surgical preauth</t>
  </si>
  <si>
    <t>Must have a surgery date</t>
  </si>
  <si>
    <t>Should have surgical preauth form with:
 - chief_complaint
- vital_signs
- history_of_present_illness
- physical_examination
- investigation_report_details
- type_of_anaesthesia
- is_condition_related_to_employment
- is_condition_related_to_auto_or_other_accident
- is_co_insured
- co_insurance_details</t>
  </si>
  <si>
    <r>
      <rPr>
        <rFont val="Assistant"/>
        <sz val="10.0"/>
      </rPr>
      <t xml:space="preserve">Conforms to the defined data model for the API </t>
    </r>
    <r>
      <rPr>
        <rFont val="Assistant"/>
        <color rgb="FF1155CC"/>
        <sz val="10.0"/>
        <u/>
      </rPr>
      <t>https://www.figma.com/board/ldGBNHjdf7WtiZE2SyenZn/HIE--Billing-Integration-Workflows?node-id=45-555&amp;t=pnuxAOzOqEF2Wr3N-4</t>
    </r>
    <r>
      <rPr>
        <rFont val="Assistant"/>
        <sz val="10.0"/>
      </rPr>
      <t xml:space="preserve"> </t>
    </r>
  </si>
  <si>
    <t>Create imaging preauth</t>
  </si>
  <si>
    <t>Should have Imaging preauth form with:
- Clinical_indications</t>
  </si>
  <si>
    <r>
      <rPr>
        <rFont val="Assistant"/>
        <sz val="10.0"/>
      </rPr>
      <t xml:space="preserve">Conforms to the defined data model required by the API:  </t>
    </r>
    <r>
      <rPr>
        <rFont val="Assistant"/>
        <color rgb="FF1155CC"/>
        <sz val="10.0"/>
        <u/>
      </rPr>
      <t>https://www.figma.com/board/ldGBNHjdf7WtiZE2SyenZn/HIE--Billing-Integration-Workflows?node-id=45-497&amp;t=pnuxAOzOqEF2Wr3N-4</t>
    </r>
    <r>
      <rPr>
        <rFont val="Assistant"/>
        <sz val="10.0"/>
      </rPr>
      <t xml:space="preserve"> </t>
    </r>
  </si>
  <si>
    <t>Create elective preauth</t>
  </si>
  <si>
    <t>Create and submit preauth without starting a visit or creating a claim</t>
  </si>
  <si>
    <t>Has to have expected service start date</t>
  </si>
  <si>
    <t>Requires patient consent by OTP or biometrics</t>
  </si>
  <si>
    <t>Remove preauth attachment</t>
  </si>
  <si>
    <t>Cannot remove if preauth status is active, finalised, approved or rejected  (sent to the payer and not returned for clarification)</t>
  </si>
  <si>
    <t>Remove preauth diagnosis</t>
  </si>
  <si>
    <t xml:space="preserve">Cannot remove if preauth status is active, finalised, approved or rejected  (sent to the payer and not returned for clarification)
</t>
  </si>
  <si>
    <t>Once doctor request is sent it becomes pending doctor approval and you cannot edit anything except attachments</t>
  </si>
  <si>
    <t>Can be edited when preauth status is clarification after automatic checks</t>
  </si>
  <si>
    <t>Cancel preauth</t>
  </si>
  <si>
    <t>Can only be cancelled if not sent to payer</t>
  </si>
  <si>
    <t>Sync Payer system approval/rejection back to HIE</t>
  </si>
  <si>
    <t>Sync payer system approval/rejection from HIE to HMIS</t>
  </si>
  <si>
    <t>Add bill line for interventions not requiring preauths</t>
  </si>
  <si>
    <t>Cannot add bill items if preauth is not APPROVED</t>
  </si>
  <si>
    <t>If a preauth is required, all interventions should have APPROVED preauths before adding bill items</t>
  </si>
  <si>
    <t>For inpatient claim, claim billing line added automatically for every day for per diem interventions</t>
  </si>
  <si>
    <t>If inpatient claim, day of start visit is counted as full day for per diem and a line is added</t>
  </si>
  <si>
    <t>Bill amount should be less than keph level tariff or overall tariff</t>
  </si>
  <si>
    <t xml:space="preserve">If PMF/TSC member, TSC panel hospital (only for TSC) and a PMF/TSC only intervention, bill amount should be less than PMF/TSC balance + ex-gratia
</t>
  </si>
  <si>
    <t>If UHC intervention, for PMF/TSC members bill amount should be less that keph level tariff + PMF/TSC balance + ex-gratia</t>
  </si>
  <si>
    <t>Required and optional attachment types for each intervention can be added</t>
  </si>
  <si>
    <t>Attachment size should not be more than 2MB</t>
  </si>
  <si>
    <t>Attachment should only be of the following extensions  .jpg, .png, .pdf</t>
  </si>
  <si>
    <t>Should be an ICD-11 diagnosis code</t>
  </si>
  <si>
    <t>- Can only be removed when in DRAFT status</t>
  </si>
  <si>
    <t>- Can only be previewed once a claim has been submitted to payer</t>
  </si>
  <si>
    <t xml:space="preserve">Resubmit claim </t>
  </si>
  <si>
    <t>Edit claim line</t>
  </si>
  <si>
    <t>Claim must have invoice number</t>
  </si>
  <si>
    <t>Claim must have at least one diagnosis</t>
  </si>
  <si>
    <t xml:space="preserve">Claim must have at least one bill item </t>
  </si>
  <si>
    <t>Claim must have all required attachemnt types for the interventions added</t>
  </si>
  <si>
    <t>For claims with preauths, all interventions should have APPROVED preauths before submitting</t>
  </si>
  <si>
    <t>Claims of service type Outpatient (OP) becomes time barred after 7 days without submission</t>
  </si>
  <si>
    <t>Send discharge OTP</t>
  </si>
  <si>
    <t>- Under 18 who is not a principal member use parent/other over 18 dependants in household phone number for OTP consent</t>
  </si>
  <si>
    <t>Request  biometrics for discharge consent for member</t>
  </si>
  <si>
    <t>Patient discharge (INPATIENT)</t>
  </si>
  <si>
    <t>Claim must have invoice number, diagnosis, bill item and required attachments before submission</t>
  </si>
  <si>
    <t>Cannot submit a claim with interventions without bill items unless retired</t>
  </si>
  <si>
    <t>All claims, except capitation, require attachments</t>
  </si>
  <si>
    <t>Claim becomes time barred if not submitted 14 days after discharge</t>
  </si>
  <si>
    <t>Cannot discharge patient if discharge date is in the future</t>
  </si>
  <si>
    <t>Discharge date is required and takes as input from the user</t>
  </si>
  <si>
    <t>Discharge requires OTP/Biometrics consent</t>
  </si>
  <si>
    <t>Discharging deceased patient requires:
1. Death notification added as attachment 
2. Date of death provided
3. Discharge reason set to deceased</t>
  </si>
  <si>
    <t xml:space="preserve">Discharge reason is mandatory If DECEASED, death notification attachment is required
</t>
  </si>
  <si>
    <t>Can only close a claim that is in DRAFT status</t>
  </si>
  <si>
    <t>ECCIF Claim</t>
  </si>
  <si>
    <t>Create emergency claim</t>
  </si>
  <si>
    <t xml:space="preserve">Create emergency claim for identified patient </t>
  </si>
  <si>
    <t>Only Level 5 and 6 providers can start emergency case claims</t>
  </si>
  <si>
    <t>Requires doctors consent/approval</t>
  </si>
  <si>
    <t xml:space="preserve"> Identify patient done through OTP consent</t>
  </si>
  <si>
    <t>You cannot have more than one intervention per claim</t>
  </si>
  <si>
    <t xml:space="preserve">Create emergency claim for unidentified patient </t>
  </si>
  <si>
    <t>Patient not required to be registered with SHA</t>
  </si>
  <si>
    <t>Identify emergency patient</t>
  </si>
  <si>
    <t>Send OTP to patient</t>
  </si>
  <si>
    <t>Identitfy unknown emergency case patient</t>
  </si>
  <si>
    <t>Billing</t>
  </si>
  <si>
    <t>Get emergency case protocols</t>
  </si>
  <si>
    <t>Add emergency case protocol</t>
  </si>
  <si>
    <t>Can only add protocols within the first 24 hours of creating a claim</t>
  </si>
  <si>
    <t>Can only add attachments within the first 24 hours of creating a claim</t>
  </si>
  <si>
    <t>Can only add diagnosis within the first 24 hours of creating a claim</t>
  </si>
  <si>
    <t>Can only remove within the first 24 hours of creating a claim</t>
  </si>
  <si>
    <t>Can only be previewed after claim submission</t>
  </si>
  <si>
    <t>Doctor request</t>
  </si>
  <si>
    <t>Send an approval request to a doctor for their approval</t>
  </si>
  <si>
    <t>Request sent only via OTP</t>
  </si>
  <si>
    <t>Remove doctor from emergency claim</t>
  </si>
  <si>
    <t>Submit emergency claim (Identified patient)</t>
  </si>
  <si>
    <t>Claim must have all the required claim attachment types for the specific intervention</t>
  </si>
  <si>
    <t>Require doctor approval before submission</t>
  </si>
  <si>
    <t>Submit emergency claim (Unidentified patient)</t>
  </si>
  <si>
    <t>Claim can only be closed if status is DRAFT</t>
  </si>
  <si>
    <t>Given</t>
  </si>
  <si>
    <t>When</t>
  </si>
  <si>
    <t>Then</t>
  </si>
  <si>
    <t>15th Feb</t>
  </si>
  <si>
    <t>16th Feb</t>
  </si>
  <si>
    <t>17th Feb</t>
  </si>
  <si>
    <t>20th Feb</t>
  </si>
  <si>
    <t>21st Feb</t>
  </si>
  <si>
    <t>14th March</t>
  </si>
  <si>
    <t>15th March</t>
  </si>
  <si>
    <t>18th March</t>
  </si>
  <si>
    <t>19th March</t>
  </si>
  <si>
    <t xml:space="preserve">4th June </t>
  </si>
  <si>
    <t>Mass awareness pre-screening</t>
  </si>
  <si>
    <t>I am a patient/mother visiting coast general</t>
  </si>
  <si>
    <t>I arrive at the facility</t>
  </si>
  <si>
    <t xml:space="preserve">I should view posters informing me of the clinic, the screenings done as well as the time </t>
  </si>
  <si>
    <t>FAILED</t>
  </si>
  <si>
    <t>OK</t>
  </si>
  <si>
    <t>PENDING</t>
  </si>
  <si>
    <t>I should view infographics that inform me about the two cancers, including risk factors, symptoms etc. to educate</t>
  </si>
  <si>
    <t>I should be handed informational fliers at different points such as the gynaecology centre that will nudge me to get screened</t>
  </si>
  <si>
    <t>I should be guided on where the clinic is for me not to get lost</t>
  </si>
  <si>
    <t>Patient engagement</t>
  </si>
  <si>
    <t>I am a patient undergoing cervical and breast cancer screening at the clinic</t>
  </si>
  <si>
    <t>I am registered at the empower clinic</t>
  </si>
  <si>
    <t>I should receive an SMS informing me of the registration, as well as my empower ID</t>
  </si>
  <si>
    <t>I have been screened and accepted to be enrolled to education</t>
  </si>
  <si>
    <t>I should receive an SMS informing me i have been enrolled to patient education messages</t>
  </si>
  <si>
    <t>Patient education - post screening</t>
  </si>
  <si>
    <t>I have been screened for breast and cervical cancer</t>
  </si>
  <si>
    <t>I have been determined to not be at risk of breast/cervical cancer</t>
  </si>
  <si>
    <t>I should receive a message informing me about my screening outcomes</t>
  </si>
  <si>
    <t xml:space="preserve">I should receive general information messages educating me on risk factors, nudging me to get screened often and prevention messaging </t>
  </si>
  <si>
    <t>I have been determined to be at risk of breast/cervical cancer and results turned out negative</t>
  </si>
  <si>
    <t>I should receive a message informing me about my screening outcomes, as well as informing me of the recommended next steps</t>
  </si>
  <si>
    <t>I should receive messaging on how to reduce my current risk by educating on lifestyle changes and other prevention measures</t>
  </si>
  <si>
    <t>I have been determined to be at risk of breast/cervical cancer and results turned out positive</t>
  </si>
  <si>
    <t>I should receive messaging on how to manage the condition, lifestyle changes and support groups</t>
  </si>
  <si>
    <t>20th March</t>
  </si>
  <si>
    <t>21th March</t>
  </si>
  <si>
    <t>22nd March</t>
  </si>
  <si>
    <t>25th March</t>
  </si>
  <si>
    <t>26th March</t>
  </si>
  <si>
    <t>27th March</t>
  </si>
  <si>
    <t>28th March</t>
  </si>
  <si>
    <t>2nd April</t>
  </si>
  <si>
    <t>3rd April</t>
  </si>
  <si>
    <t>4th April</t>
  </si>
  <si>
    <t>5th April</t>
  </si>
  <si>
    <t>8th April</t>
  </si>
  <si>
    <t>9th April</t>
  </si>
  <si>
    <t>11th April</t>
  </si>
  <si>
    <t>15th April</t>
  </si>
  <si>
    <t>16th April</t>
  </si>
  <si>
    <t>17th April</t>
  </si>
  <si>
    <t>18th April</t>
  </si>
  <si>
    <t>24th April</t>
  </si>
  <si>
    <t>29th April</t>
  </si>
  <si>
    <t>30th April</t>
  </si>
  <si>
    <t>2nd May</t>
  </si>
  <si>
    <t>3rd May</t>
  </si>
  <si>
    <t>6th May</t>
  </si>
  <si>
    <t>7th May</t>
  </si>
  <si>
    <t>8th May</t>
  </si>
  <si>
    <t>Sign In</t>
  </si>
  <si>
    <t>The user is on the login page</t>
  </si>
  <si>
    <t>The user enters the correct credentials(email and password) from the invite sent and taps on the login button</t>
  </si>
  <si>
    <t>The user should be navigated to the branch and service point selection page</t>
  </si>
  <si>
    <t>The user enters a non-existentent email and taps on the login button</t>
  </si>
  <si>
    <t>The user should get an error message saying 'The email and password combination is invalid or the user is inactive'</t>
  </si>
  <si>
    <t>The user enters the wrong password and taps on the login button</t>
  </si>
  <si>
    <t>The user is on the branch and service point page</t>
  </si>
  <si>
    <t>The user selects the service point they are working from</t>
  </si>
  <si>
    <t>The user should be redirected to the home page</t>
  </si>
  <si>
    <t>Patient Registration</t>
  </si>
  <si>
    <t>The user is on the patient list page</t>
  </si>
  <si>
    <t>The user clicks on the register new patient button</t>
  </si>
  <si>
    <t>The user should be directed to the patient registration page, with the search section being highlighted</t>
  </si>
  <si>
    <t>The user is on the patient registration page</t>
  </si>
  <si>
    <t>The user searches for the patient using their Health ID, phone number, national ID or name and there are possible matches</t>
  </si>
  <si>
    <t xml:space="preserve">The platform should return a table list of possible matches </t>
  </si>
  <si>
    <t>The user searches for the patient using their Health ID, phone number, national ID or name and there are no possible matches</t>
  </si>
  <si>
    <t>The user should be informed that no user was found and prompted to register the patient</t>
  </si>
  <si>
    <t>The user is presented with the possible matches</t>
  </si>
  <si>
    <t>The user clicks to view of any of the matches</t>
  </si>
  <si>
    <t>They should be redirected to the page where the details of the match are listed</t>
  </si>
  <si>
    <t>The user is on the match details page</t>
  </si>
  <si>
    <t>The user clicks on 'mark as match'</t>
  </si>
  <si>
    <t>The user should be alerted that the match has been made and redirected to the patient's view</t>
  </si>
  <si>
    <t>The user clicks on 'mark as non-match'</t>
  </si>
  <si>
    <t>The user should be redirected to the search page</t>
  </si>
  <si>
    <t>The user is the registration page</t>
  </si>
  <si>
    <t>The user enters all the details of the patient, next of kin and consent and taps on submit</t>
  </si>
  <si>
    <t>The user should be notified that the patient has been registered successfully and redirected to the patient list profile page</t>
  </si>
  <si>
    <t>The user misses to fill out a mandatory field such as the gender</t>
  </si>
  <si>
    <t>The submit button should be grayed out and not clickable</t>
  </si>
  <si>
    <t>Patient has been registered</t>
  </si>
  <si>
    <t>The registration form is submitted successfully</t>
  </si>
  <si>
    <t>The patient should receive an SMS that they have been registered and their Empower ID as part of the message</t>
  </si>
  <si>
    <t>The clinician is redirected to the patient profile page</t>
  </si>
  <si>
    <t>The clinician should be able to view the patient's empower ID in the patient banner section</t>
  </si>
  <si>
    <t>The clinician has viewed the patient's empower ID</t>
  </si>
  <si>
    <r>
      <rPr>
        <rFont val="Quattrocento Sans"/>
        <color theme="1"/>
        <sz val="12.0"/>
      </rPr>
      <t xml:space="preserve">The clinician should enter the ID on the </t>
    </r>
    <r>
      <rPr>
        <rFont val="Quattrocento Sans"/>
        <b/>
        <color theme="1"/>
        <sz val="12.0"/>
      </rPr>
      <t>physical card</t>
    </r>
    <r>
      <rPr>
        <rFont val="Quattrocento Sans"/>
        <color theme="1"/>
        <sz val="12.0"/>
      </rPr>
      <t xml:space="preserve"> template and give the patient, requesting them to sign </t>
    </r>
  </si>
  <si>
    <t>Patient Visit</t>
  </si>
  <si>
    <t>The user is on the patient detail page</t>
  </si>
  <si>
    <t>The user clicks on 'start visit'</t>
  </si>
  <si>
    <t>The user should be alerted that the visit was started and redirected to the detail page on the screening tab with the screening forms listed</t>
  </si>
  <si>
    <t>9th May</t>
  </si>
  <si>
    <t>Select screening form</t>
  </si>
  <si>
    <t>that i need to conduct preliminary screening for breast cancer</t>
  </si>
  <si>
    <t xml:space="preserve">I want to choose the breast cancer screening form for a patient </t>
  </si>
  <si>
    <t>I should be able to select breast cancer screening form.</t>
  </si>
  <si>
    <t>i should be able to click next and proceed to patient education.</t>
  </si>
  <si>
    <t>Patient education/Awareness</t>
  </si>
  <si>
    <t xml:space="preserve">that i am to educate the patient on key aspects of breast cancer </t>
  </si>
  <si>
    <t>I want to see a nudge to educate them on screening process, what to expect, and the importance of regular screening</t>
  </si>
  <si>
    <t xml:space="preserve">I should be able to click links to brochures and other educational resources and see the NCI portal content. </t>
  </si>
  <si>
    <t>I should be able to give the patient any fliers</t>
  </si>
  <si>
    <t>Screening consent</t>
  </si>
  <si>
    <t>that i am to seek the patient's permission before conducting a screening test</t>
  </si>
  <si>
    <t>I want to see a nudge to ask the patient for explicit consent</t>
  </si>
  <si>
    <t xml:space="preserve">I should be able to choose yes if consent was given.  </t>
  </si>
  <si>
    <t>i should be able to click next and proceed with the family history assessment.</t>
  </si>
  <si>
    <t>I should be able to choose no if no consent was given</t>
  </si>
  <si>
    <t>i should be able to select the reason for declined consent</t>
  </si>
  <si>
    <t>Family History</t>
  </si>
  <si>
    <t>that i need to ask the patient about any history of cancer in their family</t>
  </si>
  <si>
    <r>
      <rPr>
        <rFont val="Quattrocento Sans"/>
        <color theme="1"/>
        <sz val="12.0"/>
      </rPr>
      <t xml:space="preserve">I select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the question on whether any of their family member has been diagnosed with cancer</t>
    </r>
  </si>
  <si>
    <t>Additional fields should appear requiring me to enter the details of the family member and saving them, and be able to click next to proceed to risk factor assessment</t>
  </si>
  <si>
    <t>I select no to the question on whether any of their family member has been diagnosed with cancer</t>
  </si>
  <si>
    <t>i should be abe to click next and proceed to risk factor assessment</t>
  </si>
  <si>
    <t>Risk factors</t>
  </si>
  <si>
    <t>that i need to assess the potential risk factors for breast cancer</t>
  </si>
  <si>
    <r>
      <rPr>
        <rFont val="Quattrocento Sans"/>
        <color theme="1"/>
        <sz val="12.0"/>
      </rPr>
      <t xml:space="preserve">I want to ask the patient a series of questions with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or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options for the most common risk factors</t>
    </r>
  </si>
  <si>
    <r>
      <rPr>
        <rFont val="Quattrocento Sans"/>
        <color theme="1"/>
        <sz val="12.0"/>
      </rPr>
      <t xml:space="preserve">I should be able to fill in yes or no based on what the patient says. If i answer yes to any of the questions, they should be categorized as </t>
    </r>
    <r>
      <rPr>
        <rFont val="Quattrocento Sans"/>
        <b/>
        <color theme="1"/>
        <sz val="12.0"/>
      </rPr>
      <t>high risk</t>
    </r>
  </si>
  <si>
    <t>I should be able to click next for symptoms.</t>
  </si>
  <si>
    <t>Symptoms</t>
  </si>
  <si>
    <t xml:space="preserve">that i need to find out whether the patient is experiencing any symptoms that may form suspicion </t>
  </si>
  <si>
    <r>
      <rPr>
        <rFont val="Quattrocento Sans"/>
        <color theme="1"/>
        <sz val="12.0"/>
      </rPr>
      <t xml:space="preserve">I want to ask them a series of 5 questions with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or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options with the most common symptoms</t>
    </r>
  </si>
  <si>
    <r>
      <rPr>
        <rFont val="Quattrocento Sans"/>
        <color theme="1"/>
        <sz val="12.0"/>
      </rPr>
      <t xml:space="preserve">I should be able to fill in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or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based on what the patient says. When i finish and click next, i should be directed to their risk summary</t>
    </r>
  </si>
  <si>
    <t>Risk stratification/summary and recommendations</t>
  </si>
  <si>
    <t>that i have completed filling in the family history, risk factor and symptom assessment steps for the patient</t>
  </si>
  <si>
    <r>
      <rPr>
        <rFont val="Quattrocento Sans"/>
        <color theme="1"/>
        <sz val="12.0"/>
      </rPr>
      <t xml:space="preserve">I choose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to all the questions for the family history, risk factor and symptom assessment</t>
    </r>
  </si>
  <si>
    <r>
      <rPr>
        <rFont val="Quattrocento Sans"/>
        <color rgb="FF000000"/>
        <sz val="12.0"/>
      </rPr>
      <t xml:space="preserve">I should be able to see the risk strata as </t>
    </r>
    <r>
      <rPr>
        <rFont val="Quattrocento Sans"/>
        <b/>
        <color rgb="FF000000"/>
        <sz val="12.0"/>
      </rPr>
      <t>average risk</t>
    </r>
    <r>
      <rPr>
        <rFont val="Quattrocento Sans"/>
        <color rgb="FF000000"/>
        <sz val="12.0"/>
      </rPr>
      <t xml:space="preserve"> and the immediate next steps for me to take during this visit</t>
    </r>
  </si>
  <si>
    <r>
      <rPr>
        <rFont val="Quattrocento Sans"/>
        <color theme="1"/>
        <sz val="12.0"/>
      </rPr>
      <t xml:space="preserve">I choose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any of the questions in the risk factor</t>
    </r>
  </si>
  <si>
    <r>
      <rPr>
        <rFont val="Quattrocento Sans"/>
        <color rgb="FF000000"/>
        <sz val="12.0"/>
      </rPr>
      <t xml:space="preserve">I should be able to see the risk strata as </t>
    </r>
    <r>
      <rPr>
        <rFont val="Quattrocento Sans"/>
        <b/>
        <color rgb="FF000000"/>
        <sz val="12.0"/>
      </rPr>
      <t>high risk</t>
    </r>
    <r>
      <rPr>
        <rFont val="Quattrocento Sans"/>
        <color rgb="FF000000"/>
        <sz val="12.0"/>
      </rPr>
      <t xml:space="preserve"> and the immediate next steps for me to take during this visit</t>
    </r>
  </si>
  <si>
    <t>Test Selection</t>
  </si>
  <si>
    <t>The patient is at risk and i need to perform a screening test</t>
  </si>
  <si>
    <t>I want to choose the type of screening from the list provided</t>
  </si>
  <si>
    <r>
      <rPr>
        <rFont val="Quattrocento Sans"/>
        <color theme="1"/>
        <sz val="12.0"/>
      </rPr>
      <t xml:space="preserve">I should be presented with a dropdown with the following options; </t>
    </r>
    <r>
      <rPr>
        <rFont val="Quattrocento Sans"/>
        <b/>
        <color theme="1"/>
        <sz val="12.0"/>
      </rPr>
      <t>First time</t>
    </r>
    <r>
      <rPr>
        <rFont val="Quattrocento Sans"/>
        <color theme="1"/>
        <sz val="12.0"/>
      </rPr>
      <t xml:space="preserve">, </t>
    </r>
    <r>
      <rPr>
        <rFont val="Quattrocento Sans"/>
        <b/>
        <color theme="1"/>
        <sz val="12.0"/>
      </rPr>
      <t>rescreeening</t>
    </r>
    <r>
      <rPr>
        <rFont val="Quattrocento Sans"/>
        <color theme="1"/>
        <sz val="12.0"/>
      </rPr>
      <t xml:space="preserve">, </t>
    </r>
    <r>
      <rPr>
        <rFont val="Quattrocento Sans"/>
        <b/>
        <color theme="1"/>
        <sz val="12.0"/>
      </rPr>
      <t>post-treatment</t>
    </r>
  </si>
  <si>
    <t>I select the test I would like to perform</t>
  </si>
  <si>
    <r>
      <rPr>
        <rFont val="Quattrocento Sans"/>
        <color rgb="FF000000"/>
        <sz val="12.0"/>
      </rPr>
      <t xml:space="preserve">I should be presented with a dropdown with the following tests; </t>
    </r>
    <r>
      <rPr>
        <rFont val="Quattrocento Sans"/>
        <b/>
        <color rgb="FF000000"/>
        <sz val="12.0"/>
      </rPr>
      <t>CBE</t>
    </r>
    <r>
      <rPr>
        <rFont val="Quattrocento Sans"/>
        <color rgb="FF000000"/>
        <sz val="12.0"/>
      </rPr>
      <t xml:space="preserve">, </t>
    </r>
    <r>
      <rPr>
        <rFont val="Quattrocento Sans"/>
        <b/>
        <color rgb="FF000000"/>
        <sz val="12.0"/>
      </rPr>
      <t>MRI</t>
    </r>
    <r>
      <rPr>
        <rFont val="Quattrocento Sans"/>
        <color rgb="FF000000"/>
        <sz val="12.0"/>
      </rPr>
      <t xml:space="preserve">, </t>
    </r>
    <r>
      <rPr>
        <rFont val="Quattrocento Sans"/>
        <b/>
        <color rgb="FF000000"/>
        <sz val="12.0"/>
      </rPr>
      <t>Mammogram, Ultrasound</t>
    </r>
  </si>
  <si>
    <t>I select one of the tests from the dropdown</t>
  </si>
  <si>
    <r>
      <rPr>
        <rFont val="Quattrocento Sans"/>
        <color theme="1"/>
        <sz val="12.0"/>
      </rPr>
      <t xml:space="preserve">I should be presented with 3 options; </t>
    </r>
    <r>
      <rPr>
        <rFont val="Quattrocento Sans"/>
        <b/>
        <color theme="1"/>
        <sz val="12.0"/>
      </rPr>
      <t>To add results now, add results later, or refer for test</t>
    </r>
  </si>
  <si>
    <t>The test results come out quickly</t>
  </si>
  <si>
    <t>I choose to add results option</t>
  </si>
  <si>
    <r>
      <rPr>
        <rFont val="Quattrocento Sans"/>
        <color rgb="FF000000"/>
        <sz val="12.0"/>
      </rPr>
      <t xml:space="preserve">Additional fields should appear - </t>
    </r>
    <r>
      <rPr>
        <rFont val="Quattrocento Sans"/>
        <b/>
        <color rgb="FF000000"/>
        <sz val="12.0"/>
      </rPr>
      <t>Test results, attachments and notes</t>
    </r>
  </si>
  <si>
    <t>I click on the test results dropdown</t>
  </si>
  <si>
    <t xml:space="preserve">Options relevant to the test I chose should appear. i.e
CBE - 
MRI - 
Mammogram - </t>
  </si>
  <si>
    <t>I click on the attachments section</t>
  </si>
  <si>
    <t>I should be allowed to upload png, pdf media</t>
  </si>
  <si>
    <t>I click on the additional notes section</t>
  </si>
  <si>
    <t>I should be allowed to type free text</t>
  </si>
  <si>
    <t>The test results will take some time to come back</t>
  </si>
  <si>
    <r>
      <rPr>
        <rFont val="Quattrocento Sans"/>
        <color theme="1"/>
        <sz val="12.0"/>
      </rPr>
      <t xml:space="preserve">I choose to add results later and click </t>
    </r>
    <r>
      <rPr>
        <rFont val="Quattrocento Sans"/>
        <b/>
        <color theme="1"/>
        <sz val="12.0"/>
      </rPr>
      <t>Next</t>
    </r>
  </si>
  <si>
    <r>
      <rPr>
        <rFont val="Quattrocento Sans"/>
        <color rgb="FF000000"/>
        <sz val="12.0"/>
      </rPr>
      <t xml:space="preserve">I should be redirected to a page indicating that the test results are not ready </t>
    </r>
    <r>
      <rPr>
        <rFont val="Quattrocento Sans"/>
        <b/>
        <color rgb="FF000000"/>
        <sz val="12.0"/>
      </rPr>
      <t>(Awaiting results)</t>
    </r>
  </si>
  <si>
    <t>I bring back the test results</t>
  </si>
  <si>
    <r>
      <rPr>
        <rFont val="Quattrocento Sans"/>
        <color rgb="FF000000"/>
        <sz val="12.0"/>
      </rPr>
      <t xml:space="preserve">I should be able to:
1. select the screening type
2. confirm consent
3. redirected to a page indicating test results are not ready </t>
    </r>
    <r>
      <rPr>
        <rFont val="Quattrocento Sans"/>
        <b/>
        <color rgb="FF000000"/>
        <sz val="12.0"/>
      </rPr>
      <t>(Awaiting results)</t>
    </r>
  </si>
  <si>
    <r>
      <rPr>
        <rFont val="Quattrocento Sans"/>
        <color theme="1"/>
        <sz val="12.0"/>
      </rPr>
      <t xml:space="preserve">I click on </t>
    </r>
    <r>
      <rPr>
        <rFont val="Quattrocento Sans"/>
        <b/>
        <color theme="1"/>
        <sz val="12.0"/>
      </rPr>
      <t>complete task</t>
    </r>
  </si>
  <si>
    <t>I should be redirected to tests page where I can add the test results</t>
  </si>
  <si>
    <t>The tests are not available in the facility</t>
  </si>
  <si>
    <t>I choose to refer for test</t>
  </si>
  <si>
    <t>Fields to allow for referall should appear
1. Hospital
2. Return date</t>
  </si>
  <si>
    <t>Return date does not appear</t>
  </si>
  <si>
    <t>Screening results 
Decision support</t>
  </si>
  <si>
    <t>that test results have been recorded and i need to enroll the patient to a health education</t>
  </si>
  <si>
    <t>i want to inform the patient about the health education program that is based on the risk assessment strata and enroll them</t>
  </si>
  <si>
    <t>The patient should receive a text message immediately informing them that they have been enrolled for patient education</t>
  </si>
  <si>
    <t>Follow up</t>
  </si>
  <si>
    <t xml:space="preserve">that the patient has been enrolled to health education and i need to decide on the next step </t>
  </si>
  <si>
    <t>I want to choose refer fo additional diagnostic tests</t>
  </si>
  <si>
    <t>i should be able to select additional diagnostic tests and see list of additional tests; Mammogram, MRI</t>
  </si>
  <si>
    <t>i should be able to book a date for the above selcted additional diagnostic text</t>
  </si>
  <si>
    <t>i want to choose refer to specialist</t>
  </si>
  <si>
    <t>i should be able to select refer to specialist and type the specific specialist</t>
  </si>
  <si>
    <t>Free text to be used</t>
  </si>
  <si>
    <t>i should be able to click export referral form and the form is downloaded on my computer for printing</t>
  </si>
  <si>
    <r>
      <rPr>
        <rFont val="Quattrocento Sans"/>
        <color rgb="FF000000"/>
        <sz val="12.0"/>
      </rPr>
      <t xml:space="preserve">i should be able to click export referral form and click </t>
    </r>
    <r>
      <rPr>
        <rFont val="Quattrocento Sans"/>
        <b/>
        <color rgb="FF000000"/>
        <sz val="12.0"/>
      </rPr>
      <t>share</t>
    </r>
    <r>
      <rPr>
        <rFont val="Quattrocento Sans"/>
        <color rgb="FF000000"/>
        <sz val="12.0"/>
      </rPr>
      <t xml:space="preserve"> to patient</t>
    </r>
  </si>
  <si>
    <r>
      <rPr>
        <rFont val="Quattrocento Sans"/>
        <color rgb="FF000000"/>
        <sz val="12.0"/>
      </rPr>
      <t xml:space="preserve">the patient should receive an </t>
    </r>
    <r>
      <rPr>
        <rFont val="Quattrocento Sans"/>
        <b/>
        <color rgb="FF000000"/>
        <sz val="12.0"/>
      </rPr>
      <t xml:space="preserve">sms </t>
    </r>
    <r>
      <rPr>
        <rFont val="Quattrocento Sans"/>
        <color rgb="FF000000"/>
        <sz val="12.0"/>
      </rPr>
      <t>with a link to download the referral form</t>
    </r>
  </si>
  <si>
    <t>i want to choose refer for treatment</t>
  </si>
  <si>
    <t>i should be able to select refer for treatment and type the facility for treatment</t>
  </si>
  <si>
    <r>
      <rPr>
        <rFont val="Quattrocento Sans"/>
        <color rgb="FF000000"/>
        <sz val="12.0"/>
      </rPr>
      <t xml:space="preserve">i should be able to click export referral form and click </t>
    </r>
    <r>
      <rPr>
        <rFont val="Quattrocento Sans"/>
        <b/>
        <color rgb="FF000000"/>
        <sz val="12.0"/>
      </rPr>
      <t>share</t>
    </r>
    <r>
      <rPr>
        <rFont val="Quattrocento Sans"/>
        <color rgb="FF000000"/>
        <sz val="12.0"/>
      </rPr>
      <t xml:space="preserve"> to patient</t>
    </r>
  </si>
  <si>
    <r>
      <rPr>
        <rFont val="Quattrocento Sans"/>
        <color rgb="FF000000"/>
        <sz val="12.0"/>
      </rPr>
      <t xml:space="preserve">the patient should receive an </t>
    </r>
    <r>
      <rPr>
        <rFont val="Quattrocento Sans"/>
        <b/>
        <color rgb="FF000000"/>
        <sz val="12.0"/>
      </rPr>
      <t>sms</t>
    </r>
    <r>
      <rPr>
        <rFont val="Quattrocento Sans"/>
        <color rgb="FF000000"/>
        <sz val="12.0"/>
      </rPr>
      <t xml:space="preserve"> with a link to download the referral form</t>
    </r>
  </si>
  <si>
    <t>20th-Dr Carol</t>
  </si>
  <si>
    <t>21st March</t>
  </si>
  <si>
    <t>that i need to conduct preliminary screening for cervical cancer</t>
  </si>
  <si>
    <t>I want to choose the cervical cancer screening form for a patient below 65 years</t>
  </si>
  <si>
    <t>I should be able to select cervical cancer screening form.</t>
  </si>
  <si>
    <t>I want to choose the cervical cancer screening form for a patient 65 years and above</t>
  </si>
  <si>
    <t xml:space="preserve">i should see a pop up warning me that cervical cancer screening is not recommended  </t>
  </si>
  <si>
    <t>i should still be able to click next on cervical cancer and proceed to patient education.</t>
  </si>
  <si>
    <t>I want to choose the cervical cancer screening form for a male patient</t>
  </si>
  <si>
    <t>I should only see breast cancer screening</t>
  </si>
  <si>
    <t>When Male visit is started, the Cancer screening  available is Breast only.</t>
  </si>
  <si>
    <t>i should still be able to select breast cancer screening in men.</t>
  </si>
  <si>
    <t xml:space="preserve">that i am to educate the patient on key aspects of cervical cancer </t>
  </si>
  <si>
    <t>I select yes to the question on whether any of their family member has been diagnosed with cancer</t>
  </si>
  <si>
    <t>that i need to assess the potential risk factors for HPV exposure</t>
  </si>
  <si>
    <t>I want to ask the patient a series of 5 questions with yes or no options for the most common risk factors</t>
  </si>
  <si>
    <t xml:space="preserve">I should be able to fill in yes or no based on what the patient says. If the answer is yes to question 1, i should be able to proceed with the other 4 risk assessment questions. </t>
  </si>
  <si>
    <t>I should be able to fill in yes or no based on what the patient says. if the answer is no to question 1, i should click next and be directed to their risk summary</t>
  </si>
  <si>
    <t>that i need to find out whether the patient is experiencing features of a sexually transmitted disease(risk factor for cervical cancer)</t>
  </si>
  <si>
    <t>I want to ask them a series of 6 questions with yes or no options with the most common symptoms</t>
  </si>
  <si>
    <t>I should be able to fill in yes or no based on what the patient says. When i finish and click next, i should be directed to their risk summary</t>
  </si>
  <si>
    <r>
      <rPr>
        <rFont val="Quattrocento Sans"/>
        <color theme="1"/>
        <sz val="12.0"/>
      </rPr>
      <t xml:space="preserve">when the answer is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family history question 1 and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to risk factor question 1</t>
    </r>
  </si>
  <si>
    <r>
      <rPr>
        <rFont val="Quattrocento Sans"/>
        <color theme="1"/>
        <sz val="12.0"/>
      </rPr>
      <t xml:space="preserve">I should be able to see the risk strata as  </t>
    </r>
    <r>
      <rPr>
        <rFont val="Quattrocento Sans"/>
        <b/>
        <color theme="1"/>
        <sz val="12.0"/>
      </rPr>
      <t>not at risk</t>
    </r>
    <r>
      <rPr>
        <rFont val="Quattrocento Sans"/>
        <color theme="1"/>
        <sz val="12.0"/>
      </rPr>
      <t xml:space="preserve"> and the immediate next steps for me to take during this visit</t>
    </r>
  </si>
  <si>
    <t>Getting risk strata as Low risk.</t>
  </si>
  <si>
    <r>
      <rPr>
        <rFont val="Quattrocento Sans"/>
        <color theme="1"/>
        <sz val="12.0"/>
      </rPr>
      <t xml:space="preserve">when the answer is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to family history question 1 and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to risk factor question 1</t>
    </r>
  </si>
  <si>
    <r>
      <rPr>
        <rFont val="Quattrocento Sans"/>
        <color theme="1"/>
        <sz val="12.0"/>
      </rPr>
      <t xml:space="preserve">I should be able to see the risk strata as  </t>
    </r>
    <r>
      <rPr>
        <rFont val="Quattrocento Sans"/>
        <b/>
        <color theme="1"/>
        <sz val="12.0"/>
      </rPr>
      <t>not at risk</t>
    </r>
    <r>
      <rPr>
        <rFont val="Quattrocento Sans"/>
        <color theme="1"/>
        <sz val="12.0"/>
      </rPr>
      <t xml:space="preserve"> and the immediate next steps for me to take during this visit</t>
    </r>
  </si>
  <si>
    <r>
      <rPr>
        <rFont val="Quattrocento Sans"/>
        <color theme="1"/>
        <sz val="12.0"/>
      </rPr>
      <t xml:space="preserve">when the answer is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family history question 1,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risk factor question 1 and </t>
    </r>
    <r>
      <rPr>
        <rFont val="Quattrocento Sans"/>
        <b/>
        <color theme="1"/>
        <sz val="12.0"/>
      </rPr>
      <t>No</t>
    </r>
    <r>
      <rPr>
        <rFont val="Quattrocento Sans"/>
        <color theme="1"/>
        <sz val="12.0"/>
      </rPr>
      <t xml:space="preserve"> to all other risk factor questions</t>
    </r>
  </si>
  <si>
    <r>
      <rPr>
        <rFont val="Quattrocento Sans"/>
        <color rgb="FF000000"/>
        <sz val="12.0"/>
      </rPr>
      <t xml:space="preserve">I should be able to see the risk strata as </t>
    </r>
    <r>
      <rPr>
        <rFont val="Quattrocento Sans"/>
        <b/>
        <color rgb="FF000000"/>
        <sz val="12.0"/>
      </rPr>
      <t>low risk</t>
    </r>
    <r>
      <rPr>
        <rFont val="Quattrocento Sans"/>
        <color rgb="FF000000"/>
        <sz val="12.0"/>
      </rPr>
      <t xml:space="preserve"> and the immediate next steps for me to take during this visit</t>
    </r>
  </si>
  <si>
    <r>
      <rPr>
        <rFont val="Quattrocento Sans"/>
        <color theme="1"/>
        <sz val="12.0"/>
      </rPr>
      <t xml:space="preserve">when the answer is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family history question 1,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risk factor question 1 and </t>
    </r>
    <r>
      <rPr>
        <rFont val="Quattrocento Sans"/>
        <b/>
        <color theme="1"/>
        <sz val="12.0"/>
      </rPr>
      <t>Yes</t>
    </r>
    <r>
      <rPr>
        <rFont val="Quattrocento Sans"/>
        <color theme="1"/>
        <sz val="12.0"/>
      </rPr>
      <t xml:space="preserve"> to any other risk factor questions</t>
    </r>
  </si>
  <si>
    <r>
      <rPr>
        <rFont val="Quattrocento Sans"/>
        <color rgb="FF000000"/>
        <sz val="12.0"/>
      </rPr>
      <t xml:space="preserve">I should be able to see the risk strata as </t>
    </r>
    <r>
      <rPr>
        <rFont val="Quattrocento Sans"/>
        <b/>
        <color rgb="FF000000"/>
        <sz val="12.0"/>
      </rPr>
      <t>at risk</t>
    </r>
    <r>
      <rPr>
        <rFont val="Quattrocento Sans"/>
        <color rgb="FF000000"/>
        <sz val="12.0"/>
      </rPr>
      <t xml:space="preserve"> and the immediate next steps for me to take during this visit</t>
    </r>
  </si>
  <si>
    <r>
      <rPr>
        <rFont val="Quattrocento Sans"/>
        <color theme="1"/>
        <sz val="12.0"/>
      </rPr>
      <t xml:space="preserve">I should be presented with a dropdown with the following options; </t>
    </r>
    <r>
      <rPr>
        <rFont val="Quattrocento Sans"/>
        <b/>
        <color theme="1"/>
        <sz val="12.0"/>
      </rPr>
      <t>First time, rescreeening, post-treatment</t>
    </r>
  </si>
  <si>
    <t>I should be presented with a dropdown with the following tests; HPV, VIA, VIA/VILI, Pap Smear</t>
  </si>
  <si>
    <r>
      <rPr>
        <rFont val="Quattrocento Sans"/>
        <color theme="1"/>
        <sz val="12.0"/>
      </rPr>
      <t xml:space="preserve">I should be presented with 3 options; </t>
    </r>
    <r>
      <rPr>
        <rFont val="Quattrocento Sans"/>
        <b/>
        <color theme="1"/>
        <sz val="12.0"/>
      </rPr>
      <t>To add results now, add results later, or refer for test</t>
    </r>
  </si>
  <si>
    <r>
      <rPr>
        <rFont val="Quattrocento Sans"/>
        <color rgb="FF000000"/>
        <sz val="12.0"/>
      </rPr>
      <t xml:space="preserve">Additional fields should appear - </t>
    </r>
    <r>
      <rPr>
        <rFont val="Quattrocento Sans"/>
        <b/>
        <color rgb="FF000000"/>
        <sz val="12.0"/>
      </rPr>
      <t>Test results, attachments and notes</t>
    </r>
  </si>
  <si>
    <t>Options relevant to the test I chose should appear. i.e
VIA/VILI and VIA - Negative, Positive, Suspicious for cancer
HPV - hpv positive, hpv negative.
Pap Smear -  normal, ascus or greater</t>
  </si>
  <si>
    <t>For HPV,only Negative or Positive results appear.</t>
  </si>
  <si>
    <r>
      <rPr>
        <rFont val="Quattrocento Sans"/>
        <color theme="1"/>
        <sz val="12.0"/>
      </rPr>
      <t xml:space="preserve">I choose to add results later and click </t>
    </r>
    <r>
      <rPr>
        <rFont val="Quattrocento Sans"/>
        <b/>
        <color theme="1"/>
        <sz val="12.0"/>
      </rPr>
      <t>Next</t>
    </r>
  </si>
  <si>
    <r>
      <rPr>
        <rFont val="Quattrocento Sans"/>
        <color rgb="FF000000"/>
        <sz val="12.0"/>
      </rPr>
      <t xml:space="preserve">I should be redirected to a page indicating that the test results are not ready </t>
    </r>
    <r>
      <rPr>
        <rFont val="Quattrocento Sans"/>
        <b/>
        <color rgb="FF000000"/>
        <sz val="12.0"/>
      </rPr>
      <t>(Awaiting results)</t>
    </r>
  </si>
  <si>
    <r>
      <rPr>
        <rFont val="Quattrocento Sans"/>
        <color rgb="FF000000"/>
        <sz val="12.0"/>
      </rPr>
      <t xml:space="preserve">I should be able to:
1. select the screening type
2. confirm consent
3. redirected to a page indicating test results are not ready </t>
    </r>
    <r>
      <rPr>
        <rFont val="Quattrocento Sans"/>
        <b/>
        <color rgb="FF000000"/>
        <sz val="12.0"/>
      </rPr>
      <t>(Awaiting results)</t>
    </r>
  </si>
  <si>
    <r>
      <rPr>
        <rFont val="Quattrocento Sans"/>
        <color theme="1"/>
        <sz val="12.0"/>
      </rPr>
      <t xml:space="preserve">I click on </t>
    </r>
    <r>
      <rPr>
        <rFont val="Quattrocento Sans"/>
        <b/>
        <color theme="1"/>
        <sz val="12.0"/>
      </rPr>
      <t>complete task</t>
    </r>
  </si>
  <si>
    <t>that the patient has been enrolled to health education and i need to decide on the next step.</t>
  </si>
  <si>
    <t>I want to choose refer patient for additional diagnostic tests</t>
  </si>
  <si>
    <t xml:space="preserve">i should be able to select additional diagnostic tests and see list of additional tests; VIA, VIA/VILI, HPV, Pap, Colposcopy with(out) biopsy </t>
  </si>
  <si>
    <t>i should be able to book a date for the above selected additional diagnostic text</t>
  </si>
  <si>
    <t>i should be able to click export referral form and click send to patient</t>
  </si>
  <si>
    <r>
      <rPr>
        <rFont val="Quattrocento Sans"/>
        <color rgb="FF000000"/>
        <sz val="12.0"/>
      </rPr>
      <t xml:space="preserve">the patient should receive a </t>
    </r>
    <r>
      <rPr>
        <rFont val="Quattrocento Sans"/>
        <b/>
        <color rgb="FF000000"/>
        <sz val="12.0"/>
      </rPr>
      <t>sms</t>
    </r>
    <r>
      <rPr>
        <rFont val="Quattrocento Sans"/>
        <color rgb="FF000000"/>
        <sz val="12.0"/>
      </rPr>
      <t xml:space="preserve"> with a link to download the referral form</t>
    </r>
  </si>
  <si>
    <r>
      <rPr>
        <rFont val="Quattrocento Sans"/>
        <color rgb="FF000000"/>
        <sz val="12.0"/>
      </rPr>
      <t xml:space="preserve">i should be able to click export referral form and click </t>
    </r>
    <r>
      <rPr>
        <rFont val="Quattrocento Sans"/>
        <b/>
        <color rgb="FF000000"/>
        <sz val="12.0"/>
      </rPr>
      <t>share</t>
    </r>
    <r>
      <rPr>
        <rFont val="Quattrocento Sans"/>
        <color rgb="FF000000"/>
        <sz val="12.0"/>
      </rPr>
      <t xml:space="preserve"> to patient</t>
    </r>
  </si>
  <si>
    <r>
      <rPr>
        <rFont val="Quattrocento Sans"/>
        <color rgb="FF000000"/>
        <sz val="12.0"/>
      </rPr>
      <t xml:space="preserve">the patient should receive an </t>
    </r>
    <r>
      <rPr>
        <rFont val="Quattrocento Sans"/>
        <b/>
        <color rgb="FF000000"/>
        <sz val="12.0"/>
      </rPr>
      <t>sms</t>
    </r>
    <r>
      <rPr>
        <rFont val="Quattrocento Sans"/>
        <color rgb="FF000000"/>
        <sz val="12.0"/>
      </rPr>
      <t xml:space="preserve"> with a link to download the referral form</t>
    </r>
  </si>
  <si>
    <t>why?context</t>
  </si>
  <si>
    <t>what?action</t>
  </si>
  <si>
    <t>how?</t>
  </si>
  <si>
    <t>Registration</t>
  </si>
  <si>
    <t>that the patient does not exist on the system</t>
  </si>
  <si>
    <t>i want to add them to empower system</t>
  </si>
  <si>
    <t>I should be able to enter their biodetails eg age, gender, name etc and save these details on empower system</t>
  </si>
  <si>
    <t>Under Development</t>
  </si>
  <si>
    <t>Search</t>
  </si>
  <si>
    <t>that the patient exists on the system</t>
  </si>
  <si>
    <t>i want to find them on the system</t>
  </si>
  <si>
    <t>I should be able to find them using their name or empower ID and add them to triage queue</t>
  </si>
  <si>
    <t>Triage</t>
  </si>
  <si>
    <t>that i need to start this visit by triaging the patient i have just registered or found on the sytem</t>
  </si>
  <si>
    <t>i want to record their vitals</t>
  </si>
  <si>
    <t>I should be able to add reading of their bp, temperature, sp02, etc to the system and save these details</t>
  </si>
  <si>
    <t>Screening</t>
  </si>
  <si>
    <t>that the patient has finished triage and is supposed to be screened</t>
  </si>
  <si>
    <t>I want to serve the patient</t>
  </si>
  <si>
    <t>I should be able to click serve under the screening tab and the patient being served should appear as being seen now above the queue</t>
  </si>
  <si>
    <t>Cervical Cancer Screening</t>
  </si>
  <si>
    <t>COUNTA of 4th April</t>
  </si>
  <si>
    <t>Grand Total</t>
  </si>
  <si>
    <t>Breast Cancer Screening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</si>
</sst>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9">
    <font>
      <sz val="10.0"/>
      <color rgb="FF000000"/>
      <name val="Arial"/>
      <scheme val="minor"/>
    </font>
    <font>
      <color theme="1"/>
      <name val="Assistant"/>
    </font>
    <font>
      <b/>
      <color theme="1"/>
      <name val="Assistant"/>
    </font>
    <font>
      <b/>
      <sz val="10.0"/>
      <color rgb="FF000000"/>
      <name val="Assistant"/>
    </font>
    <font>
      <b/>
      <sz val="10.0"/>
      <color theme="1"/>
      <name val="Assistant"/>
    </font>
    <font>
      <b/>
      <sz val="10.0"/>
      <color rgb="FF38761D"/>
      <name val="Assistant"/>
    </font>
    <font/>
    <font>
      <sz val="10.0"/>
      <color theme="1"/>
      <name val="Assistant"/>
    </font>
    <font>
      <u/>
      <sz val="10.0"/>
      <color rgb="FF0000FF"/>
      <name val="Assistant"/>
    </font>
    <font>
      <sz val="10.0"/>
      <color theme="1"/>
      <name val="Quattrocento Sans"/>
    </font>
    <font>
      <b/>
      <sz val="10.0"/>
      <color theme="1"/>
      <name val="Quattrocento Sans"/>
    </font>
    <font>
      <b/>
      <sz val="12.0"/>
      <color theme="1"/>
      <name val="Quattrocento Sans"/>
    </font>
    <font>
      <sz val="12.0"/>
      <color theme="1"/>
      <name val="Quattrocento Sans"/>
    </font>
    <font>
      <b/>
      <sz val="12.0"/>
      <color rgb="FF000000"/>
      <name val="Quattrocento Sans"/>
    </font>
    <font>
      <sz val="12.0"/>
      <color theme="1"/>
      <name val="Arial"/>
    </font>
    <font>
      <sz val="12.0"/>
      <color rgb="FF000000"/>
      <name val="Quattrocento Sans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Docs-Nunito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BBC04"/>
        <bgColor rgb="FFFBBC04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</fills>
  <borders count="11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10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3" fontId="4" numFmtId="164" xfId="0" applyAlignment="1" applyBorder="1" applyFill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shrinkToFit="0" wrapText="1"/>
    </xf>
    <xf borderId="2" fillId="0" fontId="6" numFmtId="0" xfId="0" applyBorder="1" applyFont="1"/>
    <xf borderId="2" fillId="4" fontId="3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6" numFmtId="0" xfId="0" applyBorder="1" applyFont="1"/>
    <xf borderId="6" fillId="0" fontId="6" numFmtId="0" xfId="0" applyBorder="1" applyFont="1"/>
    <xf borderId="7" fillId="0" fontId="1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3" fillId="0" fontId="2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7" fillId="0" fontId="6" numFmtId="0" xfId="0" applyBorder="1" applyFont="1"/>
    <xf borderId="10" fillId="0" fontId="6" numFmtId="0" xfId="0" applyBorder="1" applyFont="1"/>
    <xf borderId="0" fillId="0" fontId="1" numFmtId="0" xfId="0" applyAlignment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vertical="top"/>
    </xf>
    <xf borderId="0" fillId="0" fontId="12" numFmtId="0" xfId="0" applyAlignment="1" applyFont="1">
      <alignment readingOrder="0" shrinkToFit="0" vertical="top" wrapText="1"/>
    </xf>
    <xf borderId="0" fillId="6" fontId="11" numFmtId="0" xfId="0" applyAlignment="1" applyFill="1" applyFont="1">
      <alignment horizontal="center" readingOrder="0" vertical="top"/>
    </xf>
    <xf borderId="0" fillId="0" fontId="12" numFmtId="0" xfId="0" applyAlignment="1" applyFont="1">
      <alignment shrinkToFit="0" vertical="top" wrapText="1"/>
    </xf>
    <xf borderId="0" fillId="3" fontId="13" numFmtId="0" xfId="0" applyAlignment="1" applyFont="1">
      <alignment horizontal="left" readingOrder="0"/>
    </xf>
    <xf borderId="0" fillId="3" fontId="11" numFmtId="0" xfId="0" applyAlignment="1" applyFont="1">
      <alignment readingOrder="0" vertical="bottom"/>
    </xf>
    <xf borderId="0" fillId="0" fontId="11" numFmtId="0" xfId="0" applyAlignment="1" applyFont="1">
      <alignment horizontal="center" vertical="top"/>
    </xf>
    <xf borderId="0" fillId="0" fontId="11" numFmtId="0" xfId="0" applyAlignment="1" applyFont="1">
      <alignment horizontal="center" readingOrder="0" vertical="top"/>
    </xf>
    <xf borderId="0" fillId="0" fontId="12" numFmtId="0" xfId="0" applyAlignment="1" applyFont="1">
      <alignment readingOrder="0" shrinkToFit="0" wrapText="1"/>
    </xf>
    <xf borderId="0" fillId="0" fontId="14" numFmtId="0" xfId="0" applyAlignment="1" applyFont="1">
      <alignment vertical="top"/>
    </xf>
    <xf borderId="0" fillId="0" fontId="12" numFmtId="0" xfId="0" applyFont="1"/>
    <xf borderId="0" fillId="3" fontId="15" numFmtId="0" xfId="0" applyAlignment="1" applyFont="1">
      <alignment horizontal="left" readingOrder="0" shrinkToFit="0" vertical="top" wrapText="1"/>
    </xf>
    <xf borderId="0" fillId="7" fontId="11" numFmtId="0" xfId="0" applyAlignment="1" applyFill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1" numFmtId="0" xfId="0" applyAlignment="1" applyFont="1">
      <alignment horizontal="center" readingOrder="0" vertical="top"/>
    </xf>
    <xf borderId="0" fillId="7" fontId="12" numFmtId="0" xfId="0" applyFont="1"/>
    <xf borderId="0" fillId="0" fontId="12" numFmtId="0" xfId="0" applyFont="1"/>
    <xf borderId="0" fillId="0" fontId="11" numFmtId="0" xfId="0" applyAlignment="1" applyFont="1">
      <alignment horizontal="right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8" fontId="10" numFmtId="0" xfId="0" applyAlignment="1" applyFill="1" applyFont="1">
      <alignment readingOrder="0" shrinkToFit="0" vertical="top" wrapText="1"/>
    </xf>
    <xf borderId="0" fillId="8" fontId="10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Font="1"/>
    <xf borderId="0" fillId="3" fontId="1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43" sheet="Cervical Screening"/>
  </cacheSource>
  <cacheFields>
    <cacheField name="Item" numFmtId="0">
      <sharedItems containsBlank="1">
        <s v="Select screening form"/>
        <m/>
        <s v="Screening consent"/>
        <s v="Family History"/>
        <s v="Risk factors"/>
        <s v="Symptoms"/>
        <s v="Risk stratification/summary and recommendations"/>
        <s v="Test Selection"/>
        <s v="Follow up"/>
      </sharedItems>
    </cacheField>
    <cacheField name="Given" numFmtId="0">
      <sharedItems containsBlank="1">
        <s v="that i need to conduct preliminary screening for cervical cancer"/>
        <m/>
        <s v="that i am to educate the patient on key aspects of cervical cancer "/>
        <s v="that i am to seek the patient's permission before conducting a screening test"/>
        <s v="that i need to ask the patient about any history of cancer in their family"/>
        <s v="that i need to assess the potential risk factors for HPV exposure"/>
        <s v="that i need to find out whether the patient is experiencing features of a sexually transmitted disease(risk factor for cervical cancer)"/>
        <s v="that i have completed filling in the family history, risk factor and symptom assessment steps for the patient"/>
        <s v="The patient is at risk and i need to perform a screening test"/>
        <s v="The test results come out quickly"/>
        <s v="The test results will take some time to come back"/>
        <s v="The tests are not available in the facility"/>
        <s v="that the patient has been enrolled to health education and i need to decide on the next step."/>
      </sharedItems>
    </cacheField>
    <cacheField name="When" numFmtId="0">
      <sharedItems containsBlank="1">
        <s v="I want to choose the cervical cancer screening form for a patient below 65 years"/>
        <m/>
        <s v="I want to choose the cervical cancer screening form for a patient 65 years and above"/>
        <s v="I want to choose the cervical cancer screening form for a male patient"/>
        <s v="I want to see a nudge to educate them on screening process, what to expect, and the importance of regular screening"/>
        <s v="I want to see a nudge to ask the patient for explicit consent"/>
        <s v="I select yes to the question on whether any of their family member has been diagnosed with cancer"/>
        <s v="I select no to the question on whether any of their family member has been diagnosed with cancer"/>
        <s v="I want to ask the patient a series of 5 questions with yes or no options for the most common risk factors"/>
        <s v="I want to ask them a series of 6 questions with yes or no options with the most common symptoms"/>
        <s v="when the answer is yes to family history question 1 and No to risk factor question 1"/>
        <s v="when the answer is no to family history question 1 and No to risk factor question 1"/>
        <s v="when the answer is yes to family history question 1, Yes to risk factor question 1 and No to all other risk factor questions"/>
        <s v="when the answer is yes to family history question 1, Yes to risk factor question 1 and Yes to any other risk factor questions"/>
        <s v="I want to choose the type of screening from the list provided"/>
        <s v="I select the test I would like to perform"/>
        <s v="I select one of the tests from the dropdown"/>
        <s v="I choose to add results option"/>
        <s v="I click on the test results dropdown"/>
        <s v="I click on the attachments section"/>
        <s v="I click on the additional notes section"/>
        <s v="I choose to add results later and click Next"/>
        <s v="I bring back the test results"/>
        <s v="I click on complete task"/>
        <s v="I choose to refer for test"/>
        <s v="I want to choose refer patient for additional diagnostic tests"/>
        <s v="i want to choose refer to specialist"/>
        <s v="i want to choose refer for treatment"/>
      </sharedItems>
    </cacheField>
    <cacheField name="Then" numFmtId="0">
      <sharedItems>
        <s v="I should be able to select cervical cancer screening form."/>
        <s v="i should be able to click next and proceed to patient education."/>
        <s v="i should see a pop up warning me that cervical cancer screening is not recommended  "/>
        <s v="i should still be able to click next on cervical cancer and proceed to patient education."/>
        <s v="I should only see breast cancer screening"/>
        <s v="i should still be able to select breast cancer screening in men."/>
        <s v="I should be able to click links to brochures and other educational resources and see the NCI portal content. "/>
        <s v="I should be able to choose yes if consent was given.  "/>
        <s v="i should be able to click next and proceed with the family history assessment."/>
        <s v="I should be able to choose no if no consent was given"/>
        <s v="i should be able to select the reason for declined consent"/>
        <s v="Additional fields should appear requiring me to enter the details of the family member and saving them, and be able to click next to proceed to risk factor assessment"/>
        <s v="i should be abe to click next and proceed to risk factor assessment"/>
        <s v="I should be able to fill in yes or no based on what the patient says. If the answer is yes to question 1, i should be able to proceed with the other 4 risk assessment questions. "/>
        <s v="I should be able to click next for symptoms."/>
        <s v="I should be able to fill in yes or no based on what the patient says. if the answer is no to question 1, i should click next and be directed to their risk summary"/>
        <s v="I should be able to fill in yes or no based on what the patient says. When i finish and click next, i should be directed to their risk summary"/>
        <s v="I should be able to see the risk strata as  not at risk and the immediate next steps for me to take during this visit"/>
        <s v="I should be able to see the risk strata as low risk and the immediate next steps for me to take during this visit"/>
        <s v="I should be able to see the risk strata as at risk and the immediate next steps for me to take during this visit"/>
        <s v="I should be presented with a dropdown with the following options; First time, rescreeening, post-treatment"/>
        <s v="I should be presented with a dropdown with the following tests; HPV, VIA, VIA/VILI, Pap Smear"/>
        <s v="I should be presented with 3 options; To add results now, add results later, or refer for test"/>
        <s v="Additional fields should appear - Test results, attachments and notes"/>
        <s v="Options relevant to the test I chose should appear. i.e&#10;VIA/VILI and VIA - Negative, Positive, Suspicious for cancer&#10;HPV - hpv positive, hpv negative.&#10;Pap Smear -  normal, ascus or greater"/>
        <s v="I should be allowed to upload png, pdf media"/>
        <s v="I should be allowed to type free text"/>
        <s v="I should be redirected to a page indicating that the test results are not ready (Awaiting results)"/>
        <s v="I should be able to:&#10;1. select the screening type&#10;2. confirm consent&#10;3. redirected to a page indicating test results are not ready (Awaiting results)"/>
        <s v="I should be redirected to tests page where I can add the test results"/>
        <s v="Fields to allow for referall should appear&#10;1. Hospital&#10;2. Return date"/>
        <s v="i should be able to select additional diagnostic tests and see list of additional tests; VIA, VIA/VILI, HPV, Pap, Colposcopy with(out) biopsy "/>
        <s v="i should be able to book a date for the above selected additional diagnostic text"/>
        <s v="i should be able to select refer to specialist and type the specific specialist"/>
        <s v="i should be able to click export referral form and the form is downloaded on my computer for printing"/>
        <s v="i should be able to click export referral form and click send to patient"/>
        <s v="the patient should receive a sms with a link to download the referral form"/>
        <s v="i should be able to select refer for treatment and type the facility for treatment"/>
        <s v="i should be able to click export referral form and click share to patient"/>
        <s v="the patient should receive an sms with a link to download the referral form"/>
      </sharedItems>
    </cacheField>
    <cacheField name="15th Feb" numFmtId="0">
      <sharedItems>
        <s v="OK"/>
        <s v="FAILED"/>
        <s v="PENDING"/>
      </sharedItems>
    </cacheField>
    <cacheField name="16th Feb" numFmtId="0">
      <sharedItems>
        <s v="OK"/>
        <s v="FAILED"/>
        <s v="PENDING"/>
      </sharedItems>
    </cacheField>
    <cacheField name="17th Feb" numFmtId="0">
      <sharedItems>
        <s v="OK"/>
        <s v="FAILED"/>
        <s v="PENDING"/>
      </sharedItems>
    </cacheField>
    <cacheField name="20th Feb" numFmtId="0">
      <sharedItems>
        <s v="OK"/>
        <s v="FAILED"/>
        <s v="PENDING"/>
      </sharedItems>
    </cacheField>
    <cacheField name="20th-Dr Carol" numFmtId="0">
      <sharedItems containsBlank="1">
        <m/>
        <s v="OK"/>
        <s v="FAILED"/>
        <s v="PENDING"/>
      </sharedItems>
    </cacheField>
    <cacheField name="20th-dr carol2" numFmtId="0">
      <sharedItems containsBlank="1">
        <m/>
        <s v="OK"/>
        <s v="FAILED"/>
        <s v="PENDING"/>
      </sharedItems>
    </cacheField>
    <cacheField name="21st Feb" numFmtId="0">
      <sharedItems>
        <s v="OK"/>
        <s v="FAILED"/>
        <s v="PENDING"/>
      </sharedItems>
    </cacheField>
    <cacheField name="14th March" numFmtId="0">
      <sharedItems>
        <s v="OK"/>
        <s v="FAILED"/>
        <s v="PENDING"/>
      </sharedItems>
    </cacheField>
    <cacheField name="15th March" numFmtId="0">
      <sharedItems>
        <s v="FAILED"/>
        <s v="PENDING"/>
      </sharedItems>
    </cacheField>
    <cacheField name="18th March" numFmtId="0">
      <sharedItems>
        <s v="OK"/>
        <s v="FAILED"/>
        <s v="PENDING"/>
      </sharedItems>
    </cacheField>
    <cacheField name="19th March" numFmtId="0">
      <sharedItems containsBlank="1">
        <m/>
        <s v="PENDING"/>
      </sharedItems>
    </cacheField>
    <cacheField name="20th March" numFmtId="0">
      <sharedItems containsBlank="1">
        <s v="OK"/>
        <s v="When Male visit is started, the Cancer screening  available is Breast only."/>
        <m/>
        <s v="PENDING"/>
      </sharedItems>
    </cacheField>
    <cacheField name="21st March" numFmtId="0">
      <sharedItems>
        <s v="OK"/>
        <s v="When Male visit is started, the Cancer screening  available is Breast only."/>
        <s v="Getting risk strata as Low risk."/>
        <s v="For HPV,only Negative or Positive results appear."/>
        <s v="FAILED"/>
        <s v="PENDING"/>
      </sharedItems>
    </cacheField>
    <cacheField name="22nd March" numFmtId="0">
      <sharedItems>
        <s v="OK"/>
        <s v="When Male visit is started, the Cancer screening  available is Breast only."/>
        <s v="Getting risk strata as Low risk."/>
        <s v="For HPV,only Negative or Positive results appear."/>
        <s v="FAILED"/>
        <s v="PENDING"/>
      </sharedItems>
    </cacheField>
    <cacheField name="25th March" numFmtId="0">
      <sharedItems>
        <s v="PENDING"/>
      </sharedItems>
    </cacheField>
    <cacheField name="26th March" numFmtId="0">
      <sharedItems>
        <s v="OK"/>
        <s v="PENDING"/>
      </sharedItems>
    </cacheField>
    <cacheField name="27th March" numFmtId="0">
      <sharedItems>
        <s v="PENDING"/>
      </sharedItems>
    </cacheField>
    <cacheField name="28th March" numFmtId="0">
      <sharedItems containsBlank="1">
        <s v="OK"/>
        <m/>
        <s v="PENDING"/>
      </sharedItems>
    </cacheField>
    <cacheField name="2nd April" numFmtId="0">
      <sharedItems containsBlank="1">
        <s v="OK"/>
        <s v="Getting risk strata as Low risk."/>
        <s v="PENDING"/>
        <s v="Return date does not appear"/>
        <m/>
      </sharedItems>
    </cacheField>
    <cacheField name="3rd April" numFmtId="0">
      <sharedItems>
        <s v="OK"/>
        <s v="FAILED"/>
        <s v="PENDING"/>
      </sharedItems>
    </cacheField>
    <cacheField name="4th April" numFmtId="0">
      <sharedItems>
        <s v="OK"/>
        <s v="PENDI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39" sheet="Breast Screening"/>
  </cacheSource>
  <cacheFields>
    <cacheField name="Item" numFmtId="0">
      <sharedItems containsBlank="1">
        <s v="Select screening form"/>
        <m/>
        <s v="Patient education/Awareness"/>
        <s v="Screening consent"/>
        <s v="Family History"/>
        <s v="Risk factors"/>
        <s v="Symptoms"/>
        <s v="Risk stratification/summary and recommendations"/>
        <s v="Test Selection"/>
        <s v="Screening results &#10;Decision support"/>
        <s v="Follow up"/>
      </sharedItems>
    </cacheField>
    <cacheField name="Given" numFmtId="0">
      <sharedItems containsBlank="1">
        <s v="that i need to conduct preliminary screening for breast cancer"/>
        <m/>
        <s v="that i am to educate the patient on key aspects of breast cancer "/>
        <s v="that i am to seek the patient's permission before conducting a screening test"/>
        <s v="that i need to ask the patient about any history of cancer in their family"/>
        <s v="that i need to assess the potential risk factors for breast cancer"/>
        <s v="that i need to find out whether the patient is experiencing any symptoms that may form suspicion "/>
        <s v="that i have completed filling in the family history, risk factor and symptom assessment steps for the patient"/>
        <s v="The patient is at risk and i need to perform a screening test"/>
        <s v="The test results come out quickly"/>
        <s v="The test results will take some time to come back"/>
        <s v="The tests are not available in the facility"/>
        <s v="that test results have been recorded and i need to enroll the patient to a health education"/>
        <s v="that the patient has been enrolled to health education and i need to decide on the next step "/>
      </sharedItems>
    </cacheField>
    <cacheField name="When" numFmtId="0">
      <sharedItems containsBlank="1">
        <s v="I want to choose the breast cancer screening form for a patient "/>
        <m/>
        <s v="I want to see a nudge to educate them on screening process, what to expect, and the importance of regular screening"/>
        <s v="I want to see a nudge to ask the patient for explicit consent"/>
        <s v="I select yes to the question on whether any of their family member has been diagnosed with cancer"/>
        <s v="I select no to the question on whether any of their family member has been diagnosed with cancer"/>
        <s v="I want to ask the patient a series of questions with yes or no options for the most common risk factors"/>
        <s v="I want to ask them a series of 5 questions with yes or no options with the most common symptoms"/>
        <s v="I choose NO to all the questions for the family history, risk factor and symptom assessment"/>
        <s v="I choose yes to any of the questions in the risk factor"/>
        <s v="I want to choose the type of screening from the list provided"/>
        <s v="I select the test I would like to perform"/>
        <s v="I select one of the tests from the dropdown"/>
        <s v="I choose to add results option"/>
        <s v="I click on the test results dropdown"/>
        <s v="I click on the attachments section"/>
        <s v="I click on the additional notes section"/>
        <s v="I choose to add results later and click Next"/>
        <s v="I bring back the test results"/>
        <s v="I click on complete task"/>
        <s v="I choose to refer for test"/>
        <s v="i want to inform the patient about the health education program that is based on the risk assessment strata and enroll them"/>
        <s v="I want to choose refer fo additional diagnostic tests"/>
        <s v="i want to choose refer to specialist"/>
        <s v="i want to choose refer for treatment"/>
      </sharedItems>
    </cacheField>
    <cacheField name="Then" numFmtId="0">
      <sharedItems containsBlank="1">
        <s v="I should be able to select breast cancer screening form."/>
        <s v="i should be able to click next and proceed to patient education."/>
        <s v="I should be able to click links to brochures and other educational resources and see the NCI portal content. "/>
        <s v="I should be able to give the patient any fliers"/>
        <s v="I should be able to choose yes if consent was given.  "/>
        <s v="i should be able to click next and proceed with the family history assessment."/>
        <s v="I should be able to choose no if no consent was given"/>
        <s v="i should be able to select the reason for declined consent"/>
        <s v="Additional fields should appear requiring me to enter the details of the family member and saving them, and be able to click next to proceed to risk factor assessment"/>
        <s v="i should be abe to click next and proceed to risk factor assessment"/>
        <s v="I should be able to fill in yes or no based on what the patient says. If i answer yes to any of the questions, they should be categorized as high risk"/>
        <s v="I should be able to click next for symptoms."/>
        <s v="I should be able to fill in yes or no based on what the patient says. When i finish and click next, i should be directed to their risk summary"/>
        <s v="I should be able to see the risk strata as average risk and the immediate next steps for me to take during this visit"/>
        <s v="I should be able to see the risk strata as high risk and the immediate next steps for me to take during this visit"/>
        <s v="I should be presented with a dropdown with the following options; First time, rescreeening, post-treatment"/>
        <s v="I should be presented with a dropdown with the following tests; CBE, MRI, Mammogram, Ultrasound"/>
        <s v="I should be presented with 3 options; To add results now, add results later, or refer for test"/>
        <s v="Additional fields should appear - Test results, attachments and notes"/>
        <s v="Options relevant to the test I chose should appear. i.e&#10;CBE - &#10;MRI - &#10;Mammogram - "/>
        <s v="I should be allowed to upload png, pdf media"/>
        <s v="I should be allowed to type free text"/>
        <s v="I should be redirected to a page indicating that the test results are not ready (Awaiting results)"/>
        <s v="I should be able to:&#10;1. select the screening type&#10;2. confirm consent&#10;3. redirected to a page indicating test results are not ready (Awaiting results)"/>
        <s v="I should be redirected to tests page where I can add the test results"/>
        <s v="Fields to allow for referall should appear&#10;1. Hospital&#10;2. Return date"/>
        <s v="The patient should receive a text message immediately informing them that they have been enrolled for patient education"/>
        <m/>
        <s v="i should be able to select additional diagnostic tests and see list of additional tests; Mammogram, MRI"/>
        <s v="i should be able to book a date for the above selcted additional diagnostic text"/>
        <s v="i should be able to select refer to specialist and type the specific specialist"/>
        <s v="i should be able to click export referral form and the form is downloaded on my computer for printing"/>
        <s v="i should be able to click export referral form and click share to patient"/>
        <s v="the patient should receive an sms with a link to download the referral form"/>
        <s v="i should be able to select refer for treatment and type the facility for treatment"/>
      </sharedItems>
    </cacheField>
    <cacheField name="15th Feb" numFmtId="0">
      <sharedItems containsBlank="1">
        <s v="OK"/>
        <s v="FAILED"/>
        <s v="PENDING"/>
        <m/>
      </sharedItems>
    </cacheField>
    <cacheField name="16th Feb" numFmtId="0">
      <sharedItems containsBlank="1">
        <s v="OK"/>
        <s v="PENDING"/>
        <s v="FAILED"/>
        <m/>
      </sharedItems>
    </cacheField>
    <cacheField name="17th Feb" numFmtId="0">
      <sharedItems containsBlank="1">
        <s v="OK"/>
        <s v="FAILED"/>
        <s v="PENDING"/>
        <m/>
      </sharedItems>
    </cacheField>
    <cacheField name="17th feb2" numFmtId="0">
      <sharedItems containsBlank="1">
        <s v="OK"/>
        <s v="FAILED"/>
        <s v="PENDING"/>
        <m/>
      </sharedItems>
    </cacheField>
    <cacheField name="21st Feb" numFmtId="0">
      <sharedItems containsBlank="1">
        <s v="OK"/>
        <s v="FAILED"/>
        <s v="PENDING"/>
        <m/>
      </sharedItems>
    </cacheField>
    <cacheField name="14th March" numFmtId="0">
      <sharedItems containsBlank="1">
        <s v="FAILED"/>
        <s v="PENDING"/>
        <m/>
      </sharedItems>
    </cacheField>
    <cacheField name="15th March" numFmtId="0">
      <sharedItems containsBlank="1">
        <s v="FAILED"/>
        <s v="PENDING"/>
        <m/>
      </sharedItems>
    </cacheField>
    <cacheField name="18th March" numFmtId="0">
      <sharedItems containsBlank="1">
        <s v="OK"/>
        <s v="PENDING"/>
        <s v="FAILED"/>
        <m/>
      </sharedItems>
    </cacheField>
    <cacheField name="20th March" numFmtId="0">
      <sharedItems containsBlank="1">
        <s v="OK"/>
        <m/>
        <s v="PENDING"/>
        <s v="FAILED"/>
      </sharedItems>
    </cacheField>
    <cacheField name="21th March" numFmtId="0">
      <sharedItems containsBlank="1">
        <s v="OK"/>
        <s v="PENDING"/>
        <s v="FAILED"/>
        <m/>
      </sharedItems>
    </cacheField>
    <cacheField name="22nd March" numFmtId="0">
      <sharedItems containsBlank="1">
        <s v="OK"/>
        <s v="PENDING"/>
        <s v="FAILED"/>
        <m/>
      </sharedItems>
    </cacheField>
    <cacheField name="25th March" numFmtId="0">
      <sharedItems containsBlank="1">
        <s v="PENDING"/>
        <s v="FAILED"/>
        <m/>
      </sharedItems>
    </cacheField>
    <cacheField name="26th March" numFmtId="0">
      <sharedItems containsBlank="1">
        <s v="OK"/>
        <s v="PENDING"/>
        <s v="FAILED"/>
        <m/>
      </sharedItems>
    </cacheField>
    <cacheField name="27th March" numFmtId="0">
      <sharedItems containsBlank="1">
        <s v="PENDING"/>
        <s v="FAILED"/>
        <m/>
      </sharedItems>
    </cacheField>
    <cacheField name="28th March" numFmtId="0">
      <sharedItems containsBlank="1">
        <s v="OK"/>
        <m/>
        <s v="PENDING"/>
        <s v="FAILED"/>
      </sharedItems>
    </cacheField>
    <cacheField name="2nd April" numFmtId="0">
      <sharedItems containsBlank="1">
        <s v="OK"/>
        <s v="PENDING"/>
        <s v="Return date does not appear"/>
        <s v="FAILED"/>
        <m/>
      </sharedItems>
    </cacheField>
    <cacheField name="3rd April" numFmtId="0">
      <sharedItems containsBlank="1">
        <s v="OK"/>
        <s v="FAILED"/>
        <s v="PENDING"/>
        <m/>
        <s v="Free text to be used"/>
      </sharedItems>
    </cacheField>
    <cacheField name="4th April" numFmtId="0">
      <sharedItems containsBlank="1">
        <s v="OK"/>
        <s v="PENDING"/>
        <m/>
        <s v="FAILE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7" sheet="Registration, Search, Queues"/>
  </cacheSource>
  <cacheFields>
    <cacheField name="Item" numFmtId="0">
      <sharedItems containsBlank="1">
        <s v="Sign In"/>
        <m/>
        <s v="Patient Registration"/>
        <s v="Patient Visit"/>
      </sharedItems>
    </cacheField>
    <cacheField name="Given" numFmtId="0">
      <sharedItems containsBlank="1">
        <s v="The user is on the login page"/>
        <m/>
        <s v="The user is on the branch and service point page"/>
        <s v="The user is on the patient list page"/>
        <s v="The user is on the patient registration page"/>
        <s v="The user is presented with the possible matches"/>
        <s v="The user is on the match details page"/>
        <s v="The user is the registration page"/>
        <s v="Patient has been registered"/>
        <s v="The user is on the patient detail page"/>
      </sharedItems>
    </cacheField>
    <cacheField name="When" numFmtId="0">
      <sharedItems>
        <s v="The user enters the correct credentials(email and password) from the invite sent and taps on the login button"/>
        <s v="The user enters a non-existentent email and taps on the login button"/>
        <s v="The user enters the wrong password and taps on the login button"/>
        <s v="The user selects the service point they are working from"/>
        <s v="The user clicks on the register new patient button"/>
        <s v="The user searches for the patient using their Health ID, phone number, national ID or name and there are possible matches"/>
        <s v="The user searches for the patient using their Health ID, phone number, national ID or name and there are no possible matches"/>
        <s v="The user clicks to view of any of the matches"/>
        <s v="The user clicks on 'mark as match'"/>
        <s v="The user clicks on 'mark as non-match'"/>
        <s v="The user enters all the details of the patient, next of kin and consent and taps on submit"/>
        <s v="The user misses to fill out a mandatory field such as the gender"/>
        <s v="The registration form is submitted successfully"/>
        <s v="The clinician is redirected to the patient profile page"/>
        <s v="The clinician has viewed the patient's empower ID"/>
        <s v="The user clicks on 'start visit'"/>
      </sharedItems>
    </cacheField>
    <cacheField name="Then" numFmtId="0">
      <sharedItems>
        <s v="The user should be navigated to the branch and service point selection page"/>
        <s v="The user should get an error message saying 'The email and password combination is invalid or the user is inactive'"/>
        <s v="The user should be redirected to the home page"/>
        <s v="The user should be directed to the patient registration page, with the search section being highlighted"/>
        <s v="The platform should return a table list of possible matches "/>
        <s v="The user should be informed that no user was found and prompted to register the patient"/>
        <s v="They should be redirected to the page where the details of the match are listed"/>
        <s v="The user should be alerted that the match has been made and redirected to the patient's view"/>
        <s v="The user should be redirected to the search page"/>
        <s v="The user should be notified that the patient has been registered successfully and redirected to the patient list profile page"/>
        <s v="The submit button should be grayed out and not clickable"/>
        <s v="The patient should receive an SMS that they have been registered and their Empower ID as part of the message"/>
        <s v="The clinician should be able to view the patient's empower ID in the patient banner section"/>
        <s v="The clinician should enter the ID on the physical card template and give the patient, requesting them to sign "/>
        <s v="The user should be alerted that the visit was started and redirected to the detail page on the screening tab with the screening forms listed"/>
      </sharedItems>
    </cacheField>
    <cacheField name="15th Feb" numFmtId="0">
      <sharedItems>
        <s v="OK"/>
        <s v="FAILED"/>
      </sharedItems>
    </cacheField>
    <cacheField name="16th Feb" numFmtId="0">
      <sharedItems>
        <s v="OK"/>
        <s v="FAILED"/>
      </sharedItems>
    </cacheField>
    <cacheField name="17th Feb" numFmtId="0">
      <sharedItems>
        <s v="OK"/>
        <s v="FAILED"/>
        <s v="PENDING"/>
      </sharedItems>
    </cacheField>
    <cacheField name="20th Feb" numFmtId="0">
      <sharedItems>
        <s v="OK"/>
      </sharedItems>
    </cacheField>
    <cacheField name="14th March" numFmtId="0">
      <sharedItems>
        <s v="OK"/>
        <s v="FAILED"/>
      </sharedItems>
    </cacheField>
    <cacheField name="15th March" numFmtId="0">
      <sharedItems>
        <s v="FAILED"/>
      </sharedItems>
    </cacheField>
    <cacheField name="18th March" numFmtId="0">
      <sharedItems>
        <s v="PENDING"/>
      </sharedItems>
    </cacheField>
    <cacheField name="19th March" numFmtId="0">
      <sharedItems>
        <s v="OK"/>
        <s v="FAILED"/>
        <s v="PENDING"/>
      </sharedItems>
    </cacheField>
    <cacheField name="20th March" numFmtId="0">
      <sharedItems>
        <s v="OK"/>
        <s v="FAILED"/>
        <s v="PENDING"/>
      </sharedItems>
    </cacheField>
    <cacheField name="21th March" numFmtId="0">
      <sharedItems>
        <s v="OK"/>
        <s v="FAILED"/>
        <s v="PENDING"/>
      </sharedItems>
    </cacheField>
    <cacheField name="22nd March" numFmtId="0">
      <sharedItems>
        <s v="OK"/>
        <s v="PENDING"/>
      </sharedItems>
    </cacheField>
    <cacheField name="25th March" numFmtId="0">
      <sharedItems>
        <s v="PENDING"/>
      </sharedItems>
    </cacheField>
    <cacheField name="26th March" numFmtId="0">
      <sharedItems>
        <s v="OK"/>
        <s v="PENDING"/>
      </sharedItems>
    </cacheField>
    <cacheField name="27th March" numFmtId="0">
      <sharedItems>
        <s v="PENDING"/>
      </sharedItems>
    </cacheField>
    <cacheField name="28th March" numFmtId="0">
      <sharedItems>
        <s v="OK"/>
        <s v="PENDING"/>
      </sharedItems>
    </cacheField>
    <cacheField name="2nd April" numFmtId="0">
      <sharedItems>
        <s v="OK"/>
        <s v="PENDING"/>
      </sharedItems>
    </cacheField>
    <cacheField name="3rd April" numFmtId="0">
      <sharedItems>
        <s v="OK"/>
        <s v="PENDING"/>
      </sharedItems>
    </cacheField>
    <cacheField name="4th April" numFmtId="0">
      <sharedItems>
        <s v="O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porting " cacheId="0" dataCaption="" compact="0" compactData="0">
  <location ref="A2:D13" firstHeaderRow="0" firstDataRow="1" firstDataCol="1"/>
  <pivotFields>
    <pivotField name="Item" axis="axisRow" compact="0" outline="0" multipleItemSelectionAllowed="1" showAll="0" sortType="ascending">
      <items>
        <item x="1"/>
        <item x="3"/>
        <item x="8"/>
        <item x="4"/>
        <item x="6"/>
        <item x="2"/>
        <item x="0"/>
        <item x="5"/>
        <item x="7"/>
        <item t="default"/>
      </items>
    </pivotField>
    <pivotField name="Giv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15th Feb" compact="0" outline="0" multipleItemSelectionAllowed="1" showAll="0">
      <items>
        <item x="0"/>
        <item x="1"/>
        <item x="2"/>
        <item t="default"/>
      </items>
    </pivotField>
    <pivotField name="16th Feb" compact="0" outline="0" multipleItemSelectionAllowed="1" showAll="0">
      <items>
        <item x="0"/>
        <item x="1"/>
        <item x="2"/>
        <item t="default"/>
      </items>
    </pivotField>
    <pivotField name="17th Feb" compact="0" outline="0" multipleItemSelectionAllowed="1" showAll="0">
      <items>
        <item x="0"/>
        <item x="1"/>
        <item x="2"/>
        <item t="default"/>
      </items>
    </pivotField>
    <pivotField name="20th Feb" compact="0" outline="0" multipleItemSelectionAllowed="1" showAll="0">
      <items>
        <item x="0"/>
        <item x="1"/>
        <item x="2"/>
        <item t="default"/>
      </items>
    </pivotField>
    <pivotField name="20th-Dr Carol" compact="0" outline="0" multipleItemSelectionAllowed="1" showAll="0">
      <items>
        <item x="0"/>
        <item x="1"/>
        <item x="2"/>
        <item x="3"/>
        <item t="default"/>
      </items>
    </pivotField>
    <pivotField name="20th-dr carol2" compact="0" outline="0" multipleItemSelectionAllowed="1" showAll="0">
      <items>
        <item x="0"/>
        <item x="1"/>
        <item x="2"/>
        <item x="3"/>
        <item t="default"/>
      </items>
    </pivotField>
    <pivotField name="21st Feb" compact="0" outline="0" multipleItemSelectionAllowed="1" showAll="0">
      <items>
        <item x="0"/>
        <item x="1"/>
        <item x="2"/>
        <item t="default"/>
      </items>
    </pivotField>
    <pivotField name="14th March" compact="0" outline="0" multipleItemSelectionAllowed="1" showAll="0">
      <items>
        <item x="0"/>
        <item x="1"/>
        <item x="2"/>
        <item t="default"/>
      </items>
    </pivotField>
    <pivotField name="15th March" compact="0" outline="0" multipleItemSelectionAllowed="1" showAll="0">
      <items>
        <item x="0"/>
        <item x="1"/>
        <item t="default"/>
      </items>
    </pivotField>
    <pivotField name="18th March" compact="0" outline="0" multipleItemSelectionAllowed="1" showAll="0">
      <items>
        <item x="0"/>
        <item x="1"/>
        <item x="2"/>
        <item t="default"/>
      </items>
    </pivotField>
    <pivotField name="19th March" compact="0" outline="0" multipleItemSelectionAllowed="1" showAll="0">
      <items>
        <item x="0"/>
        <item x="1"/>
        <item t="default"/>
      </items>
    </pivotField>
    <pivotField name="20th March" compact="0" outline="0" multipleItemSelectionAllowed="1" showAll="0">
      <items>
        <item x="0"/>
        <item x="1"/>
        <item x="2"/>
        <item x="3"/>
        <item t="default"/>
      </items>
    </pivotField>
    <pivotField name="21st Marc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2nd Marc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5th March" compact="0" outline="0" multipleItemSelectionAllowed="1" showAll="0">
      <items>
        <item x="0"/>
        <item t="default"/>
      </items>
    </pivotField>
    <pivotField name="26th March" compact="0" outline="0" multipleItemSelectionAllowed="1" showAll="0">
      <items>
        <item x="0"/>
        <item x="1"/>
        <item t="default"/>
      </items>
    </pivotField>
    <pivotField name="27th March" compact="0" outline="0" multipleItemSelectionAllowed="1" showAll="0">
      <items>
        <item x="0"/>
        <item t="default"/>
      </items>
    </pivotField>
    <pivotField name="28th March" compact="0" outline="0" multipleItemSelectionAllowed="1" showAll="0">
      <items>
        <item x="0"/>
        <item x="1"/>
        <item x="2"/>
        <item t="default"/>
      </items>
    </pivotField>
    <pivotField name="2nd Apr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rd April" compact="0" outline="0" multipleItemSelectionAllowed="1" showAll="0">
      <items>
        <item x="0"/>
        <item x="1"/>
        <item x="2"/>
        <item t="default"/>
      </items>
    </pivotField>
    <pivotField name="4th April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0"/>
  </rowFields>
  <colFields>
    <field x="24"/>
  </colFields>
  <dataFields>
    <dataField name="COUNTA of 4th April" fld="24" subtotal="count" baseField="0"/>
  </dataFields>
</pivotTableDefinition>
</file>

<file path=xl/pivotTables/pivotTable2.xml><?xml version="1.0" encoding="utf-8"?>
<pivotTableDefinition xmlns="http://schemas.openxmlformats.org/spreadsheetml/2006/main" name="Reporting  2" cacheId="1" dataCaption="" compact="0" compactData="0">
  <location ref="A17:F30" firstHeaderRow="0" firstDataRow="1" firstDataCol="1"/>
  <pivotFields>
    <pivotField name="Item" axis="axisRow" compact="0" outline="0" multipleItemSelectionAllowed="1" showAll="0" sortType="ascending">
      <items>
        <item x="1"/>
        <item x="4"/>
        <item x="10"/>
        <item x="2"/>
        <item x="5"/>
        <item x="7"/>
        <item x="3"/>
        <item x="9"/>
        <item x="0"/>
        <item x="6"/>
        <item x="8"/>
        <item t="default"/>
      </items>
    </pivotField>
    <pivotField name="Giv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15th Feb" compact="0" outline="0" multipleItemSelectionAllowed="1" showAll="0">
      <items>
        <item x="0"/>
        <item x="1"/>
        <item x="2"/>
        <item x="3"/>
        <item t="default"/>
      </items>
    </pivotField>
    <pivotField name="16th Feb" compact="0" outline="0" multipleItemSelectionAllowed="1" showAll="0">
      <items>
        <item x="0"/>
        <item x="1"/>
        <item x="2"/>
        <item x="3"/>
        <item t="default"/>
      </items>
    </pivotField>
    <pivotField name="17th Feb" compact="0" outline="0" multipleItemSelectionAllowed="1" showAll="0">
      <items>
        <item x="0"/>
        <item x="1"/>
        <item x="2"/>
        <item x="3"/>
        <item t="default"/>
      </items>
    </pivotField>
    <pivotField name="17th feb2" compact="0" outline="0" multipleItemSelectionAllowed="1" showAll="0">
      <items>
        <item x="0"/>
        <item x="1"/>
        <item x="2"/>
        <item x="3"/>
        <item t="default"/>
      </items>
    </pivotField>
    <pivotField name="21st Feb" compact="0" outline="0" multipleItemSelectionAllowed="1" showAll="0">
      <items>
        <item x="0"/>
        <item x="1"/>
        <item x="2"/>
        <item x="3"/>
        <item t="default"/>
      </items>
    </pivotField>
    <pivotField name="14th March" compact="0" outline="0" multipleItemSelectionAllowed="1" showAll="0">
      <items>
        <item x="0"/>
        <item x="1"/>
        <item x="2"/>
        <item t="default"/>
      </items>
    </pivotField>
    <pivotField name="15th March" compact="0" outline="0" multipleItemSelectionAllowed="1" showAll="0">
      <items>
        <item x="0"/>
        <item x="1"/>
        <item x="2"/>
        <item t="default"/>
      </items>
    </pivotField>
    <pivotField name="18th March" compact="0" outline="0" multipleItemSelectionAllowed="1" showAll="0">
      <items>
        <item x="0"/>
        <item x="1"/>
        <item x="2"/>
        <item x="3"/>
        <item t="default"/>
      </items>
    </pivotField>
    <pivotField name="20th March" compact="0" outline="0" multipleItemSelectionAllowed="1" showAll="0">
      <items>
        <item x="0"/>
        <item x="1"/>
        <item x="2"/>
        <item x="3"/>
        <item t="default"/>
      </items>
    </pivotField>
    <pivotField name="21th March" compact="0" outline="0" multipleItemSelectionAllowed="1" showAll="0">
      <items>
        <item x="0"/>
        <item x="1"/>
        <item x="2"/>
        <item x="3"/>
        <item t="default"/>
      </items>
    </pivotField>
    <pivotField name="22nd March" compact="0" outline="0" multipleItemSelectionAllowed="1" showAll="0">
      <items>
        <item x="0"/>
        <item x="1"/>
        <item x="2"/>
        <item x="3"/>
        <item t="default"/>
      </items>
    </pivotField>
    <pivotField name="25th March" compact="0" outline="0" multipleItemSelectionAllowed="1" showAll="0">
      <items>
        <item x="0"/>
        <item x="1"/>
        <item x="2"/>
        <item t="default"/>
      </items>
    </pivotField>
    <pivotField name="26th March" compact="0" outline="0" multipleItemSelectionAllowed="1" showAll="0">
      <items>
        <item x="0"/>
        <item x="1"/>
        <item x="2"/>
        <item x="3"/>
        <item t="default"/>
      </items>
    </pivotField>
    <pivotField name="27th March" compact="0" outline="0" multipleItemSelectionAllowed="1" showAll="0">
      <items>
        <item x="0"/>
        <item x="1"/>
        <item x="2"/>
        <item t="default"/>
      </items>
    </pivotField>
    <pivotField name="28th March" compact="0" outline="0" multipleItemSelectionAllowed="1" showAll="0">
      <items>
        <item x="0"/>
        <item x="1"/>
        <item x="2"/>
        <item x="3"/>
        <item t="default"/>
      </items>
    </pivotField>
    <pivotField name="2nd Apr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rd Apr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4th April" axis="axisCol" dataField="1" compact="0" outline="0" multipleItemSelectionAllowed="1" showAll="0" sortType="ascending">
      <items>
        <item x="2"/>
        <item x="3"/>
        <item x="0"/>
        <item x="1"/>
        <item t="default"/>
      </items>
    </pivotField>
  </pivotFields>
  <rowFields>
    <field x="0"/>
  </rowFields>
  <colFields>
    <field x="21"/>
  </colFields>
  <dataFields>
    <dataField name="COUNTA of 4th April" fld="21" subtotal="count" baseField="0"/>
  </dataFields>
</pivotTableDefinition>
</file>

<file path=xl/pivotTables/pivotTable3.xml><?xml version="1.0" encoding="utf-8"?>
<pivotTableDefinition xmlns="http://schemas.openxmlformats.org/spreadsheetml/2006/main" name="Reporting  3" cacheId="2" dataCaption="" compact="0" compactData="0">
  <location ref="A33:C39" firstHeaderRow="0" firstDataRow="1" firstDataCol="1"/>
  <pivotFields>
    <pivotField name="Item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Giv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h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15th Feb" compact="0" outline="0" multipleItemSelectionAllowed="1" showAll="0">
      <items>
        <item x="0"/>
        <item x="1"/>
        <item t="default"/>
      </items>
    </pivotField>
    <pivotField name="16th Feb" compact="0" outline="0" multipleItemSelectionAllowed="1" showAll="0">
      <items>
        <item x="0"/>
        <item x="1"/>
        <item t="default"/>
      </items>
    </pivotField>
    <pivotField name="17th Feb" compact="0" outline="0" multipleItemSelectionAllowed="1" showAll="0">
      <items>
        <item x="0"/>
        <item x="1"/>
        <item x="2"/>
        <item t="default"/>
      </items>
    </pivotField>
    <pivotField name="20th Feb" compact="0" outline="0" multipleItemSelectionAllowed="1" showAll="0">
      <items>
        <item x="0"/>
        <item t="default"/>
      </items>
    </pivotField>
    <pivotField name="14th March" compact="0" outline="0" multipleItemSelectionAllowed="1" showAll="0">
      <items>
        <item x="0"/>
        <item x="1"/>
        <item t="default"/>
      </items>
    </pivotField>
    <pivotField name="15th March" compact="0" outline="0" multipleItemSelectionAllowed="1" showAll="0">
      <items>
        <item x="0"/>
        <item t="default"/>
      </items>
    </pivotField>
    <pivotField name="18th March" compact="0" outline="0" multipleItemSelectionAllowed="1" showAll="0">
      <items>
        <item x="0"/>
        <item t="default"/>
      </items>
    </pivotField>
    <pivotField name="19th March" compact="0" outline="0" multipleItemSelectionAllowed="1" showAll="0">
      <items>
        <item x="0"/>
        <item x="1"/>
        <item x="2"/>
        <item t="default"/>
      </items>
    </pivotField>
    <pivotField name="20th March" compact="0" outline="0" multipleItemSelectionAllowed="1" showAll="0">
      <items>
        <item x="0"/>
        <item x="1"/>
        <item x="2"/>
        <item t="default"/>
      </items>
    </pivotField>
    <pivotField name="21th March" compact="0" outline="0" multipleItemSelectionAllowed="1" showAll="0">
      <items>
        <item x="0"/>
        <item x="1"/>
        <item x="2"/>
        <item t="default"/>
      </items>
    </pivotField>
    <pivotField name="22nd March" compact="0" outline="0" multipleItemSelectionAllowed="1" showAll="0">
      <items>
        <item x="0"/>
        <item x="1"/>
        <item t="default"/>
      </items>
    </pivotField>
    <pivotField name="25th March" compact="0" outline="0" multipleItemSelectionAllowed="1" showAll="0">
      <items>
        <item x="0"/>
        <item t="default"/>
      </items>
    </pivotField>
    <pivotField name="26th March" compact="0" outline="0" multipleItemSelectionAllowed="1" showAll="0">
      <items>
        <item x="0"/>
        <item x="1"/>
        <item t="default"/>
      </items>
    </pivotField>
    <pivotField name="27th March" compact="0" outline="0" multipleItemSelectionAllowed="1" showAll="0">
      <items>
        <item x="0"/>
        <item t="default"/>
      </items>
    </pivotField>
    <pivotField name="28th March" compact="0" outline="0" multipleItemSelectionAllowed="1" showAll="0">
      <items>
        <item x="0"/>
        <item x="1"/>
        <item t="default"/>
      </items>
    </pivotField>
    <pivotField name="2nd April" compact="0" outline="0" multipleItemSelectionAllowed="1" showAll="0">
      <items>
        <item x="0"/>
        <item x="1"/>
        <item t="default"/>
      </items>
    </pivotField>
    <pivotField name="3rd April" compact="0" outline="0" multipleItemSelectionAllowed="1" showAll="0">
      <items>
        <item x="0"/>
        <item x="1"/>
        <item t="default"/>
      </items>
    </pivotField>
    <pivotField name="4th April" axis="axisCol" dataField="1" compact="0" outline="0" multipleItemSelectionAllowed="1" showAll="0" sortType="ascending">
      <items>
        <item x="0"/>
        <item t="default"/>
      </items>
    </pivotField>
  </pivotFields>
  <rowFields>
    <field x="0"/>
  </rowFields>
  <colFields>
    <field x="21"/>
  </colFields>
  <dataFields>
    <dataField name="COUNTA of 4th April" fld="2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board/ldGBNHjdf7WtiZE2SyenZn/HIE--Billing-Integration-Workflows?node-id=45-734&amp;t=pnuxAOzOqEF2Wr3N-4" TargetMode="External"/><Relationship Id="rId2" Type="http://schemas.openxmlformats.org/officeDocument/2006/relationships/hyperlink" Target="https://www.figma.com/board/ldGBNHjdf7WtiZE2SyenZn/HIE--Billing-Integration-Workflows?node-id=45-555&amp;t=pnuxAOzOqEF2Wr3N-4" TargetMode="External"/><Relationship Id="rId3" Type="http://schemas.openxmlformats.org/officeDocument/2006/relationships/hyperlink" Target="https://www.figma.com/board/ldGBNHjdf7WtiZE2SyenZn/HIE--Billing-Integration-Workflows?node-id=45-497&amp;t=pnuxAOzOqEF2Wr3N-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23.38"/>
    <col customWidth="1" min="2" max="2" width="45.63"/>
    <col customWidth="1" min="3" max="3" width="49.75"/>
    <col customWidth="1" min="4" max="4" width="60.75"/>
    <col customWidth="1" min="5" max="5" width="27.88" outlineLevel="1"/>
    <col customWidth="1" min="6" max="6" width="21.88" outlineLevel="1"/>
  </cols>
  <sheetData>
    <row r="1">
      <c r="A1" s="1"/>
      <c r="B1" s="1"/>
      <c r="C1" s="1"/>
      <c r="D1" s="2" t="s">
        <v>0</v>
      </c>
      <c r="E1" s="3"/>
      <c r="F1" s="3"/>
    </row>
    <row r="2">
      <c r="A2" s="1"/>
      <c r="B2" s="1"/>
      <c r="C2" s="1"/>
      <c r="D2" s="2" t="s">
        <v>1</v>
      </c>
      <c r="E2" s="3">
        <f>COUNTIF(E7:E101,"PASSED")</f>
        <v>0</v>
      </c>
      <c r="F2" s="3"/>
    </row>
    <row r="3">
      <c r="A3" s="1"/>
      <c r="B3" s="1"/>
      <c r="C3" s="1"/>
      <c r="D3" s="2" t="s">
        <v>2</v>
      </c>
      <c r="E3" s="3">
        <f>COUNTIF(E7:E101,"PASSED") + COUNTIF(E7:E101,"FAILED") + COUNTIF(E7:E101,"PENDING")</f>
        <v>0</v>
      </c>
      <c r="F3" s="3"/>
    </row>
    <row r="4">
      <c r="A4" s="1"/>
      <c r="B4" s="1"/>
      <c r="C4" s="1"/>
      <c r="D4" s="2" t="s">
        <v>3</v>
      </c>
      <c r="E4" s="4" t="str">
        <f>(E2/E3)</f>
        <v>#DIV/0!</v>
      </c>
      <c r="F4" s="4"/>
    </row>
    <row r="5">
      <c r="A5" s="5" t="s">
        <v>4</v>
      </c>
      <c r="B5" s="6" t="s">
        <v>5</v>
      </c>
      <c r="C5" s="6" t="s">
        <v>6</v>
      </c>
      <c r="D5" s="7" t="s">
        <v>7</v>
      </c>
      <c r="E5" s="8"/>
      <c r="F5" s="9" t="s">
        <v>8</v>
      </c>
    </row>
    <row r="6">
      <c r="A6" s="10" t="s">
        <v>9</v>
      </c>
      <c r="B6" s="11"/>
      <c r="C6" s="11"/>
      <c r="D6" s="11"/>
      <c r="E6" s="12"/>
      <c r="F6" s="12"/>
    </row>
    <row r="7">
      <c r="A7" s="13" t="s">
        <v>10</v>
      </c>
      <c r="B7" s="14" t="s">
        <v>11</v>
      </c>
      <c r="C7" s="15" t="s">
        <v>12</v>
      </c>
      <c r="D7" s="15" t="s">
        <v>13</v>
      </c>
      <c r="E7" s="16"/>
      <c r="F7" s="16"/>
    </row>
    <row r="8">
      <c r="A8" s="17"/>
      <c r="B8" s="18" t="s">
        <v>14</v>
      </c>
      <c r="C8" s="19" t="s">
        <v>15</v>
      </c>
      <c r="D8" s="20" t="s">
        <v>16</v>
      </c>
      <c r="E8" s="16"/>
      <c r="F8" s="16"/>
    </row>
    <row r="9">
      <c r="A9" s="17"/>
      <c r="B9" s="18" t="s">
        <v>17</v>
      </c>
      <c r="C9" s="19" t="s">
        <v>18</v>
      </c>
      <c r="D9" s="20" t="s">
        <v>19</v>
      </c>
      <c r="E9" s="16"/>
      <c r="F9" s="16"/>
    </row>
    <row r="10">
      <c r="A10" s="17"/>
      <c r="B10" s="17"/>
      <c r="C10" s="17"/>
      <c r="D10" s="20" t="s">
        <v>20</v>
      </c>
      <c r="E10" s="16"/>
      <c r="F10" s="16"/>
    </row>
    <row r="11">
      <c r="A11" s="17"/>
      <c r="B11" s="18"/>
      <c r="C11" s="21"/>
      <c r="D11" s="20" t="s">
        <v>21</v>
      </c>
      <c r="E11" s="16"/>
      <c r="F11" s="16"/>
    </row>
    <row r="12">
      <c r="A12" s="17"/>
      <c r="B12" s="18" t="s">
        <v>22</v>
      </c>
      <c r="C12" s="21" t="s">
        <v>23</v>
      </c>
      <c r="D12" s="22" t="s">
        <v>24</v>
      </c>
      <c r="E12" s="16"/>
      <c r="F12" s="16"/>
    </row>
    <row r="13">
      <c r="A13" s="17"/>
      <c r="B13" s="17"/>
      <c r="D13" s="22" t="s">
        <v>25</v>
      </c>
      <c r="E13" s="16"/>
      <c r="F13" s="16"/>
    </row>
    <row r="14">
      <c r="A14" s="17"/>
      <c r="B14" s="17"/>
      <c r="D14" s="22" t="s">
        <v>26</v>
      </c>
      <c r="E14" s="16"/>
      <c r="F14" s="16"/>
    </row>
    <row r="15">
      <c r="A15" s="23"/>
      <c r="B15" s="23"/>
      <c r="C15" s="24"/>
      <c r="D15" s="25" t="s">
        <v>27</v>
      </c>
      <c r="E15" s="26"/>
      <c r="F15" s="26"/>
    </row>
    <row r="16">
      <c r="A16" s="6" t="s">
        <v>28</v>
      </c>
      <c r="B16" s="18" t="s">
        <v>29</v>
      </c>
      <c r="C16" s="19" t="s">
        <v>30</v>
      </c>
      <c r="D16" s="20" t="s">
        <v>31</v>
      </c>
      <c r="E16" s="16"/>
      <c r="F16" s="16"/>
    </row>
    <row r="17">
      <c r="A17" s="17"/>
      <c r="B17" s="17"/>
      <c r="C17" s="17"/>
      <c r="D17" s="20" t="s">
        <v>32</v>
      </c>
      <c r="E17" s="16"/>
      <c r="F17" s="16"/>
    </row>
    <row r="18">
      <c r="A18" s="17"/>
      <c r="B18" s="17"/>
      <c r="C18" s="17"/>
      <c r="D18" s="20" t="s">
        <v>33</v>
      </c>
      <c r="E18" s="16"/>
      <c r="F18" s="16"/>
    </row>
    <row r="19">
      <c r="A19" s="17"/>
      <c r="B19" s="17"/>
      <c r="C19" s="17"/>
      <c r="D19" s="20" t="s">
        <v>34</v>
      </c>
      <c r="E19" s="16"/>
      <c r="F19" s="16"/>
    </row>
    <row r="20">
      <c r="A20" s="17"/>
      <c r="B20" s="17"/>
      <c r="C20" s="17"/>
      <c r="D20" s="20" t="s">
        <v>35</v>
      </c>
      <c r="E20" s="16"/>
      <c r="F20" s="16"/>
    </row>
    <row r="21">
      <c r="A21" s="17"/>
      <c r="B21" s="17"/>
      <c r="C21" s="17"/>
      <c r="D21" s="20" t="s">
        <v>36</v>
      </c>
      <c r="E21" s="16"/>
      <c r="F21" s="16"/>
    </row>
    <row r="22">
      <c r="A22" s="17"/>
      <c r="B22" s="17"/>
      <c r="C22" s="17"/>
      <c r="D22" s="20" t="s">
        <v>37</v>
      </c>
      <c r="E22" s="16"/>
      <c r="F22" s="16"/>
    </row>
    <row r="23">
      <c r="A23" s="17"/>
      <c r="B23" s="18" t="s">
        <v>38</v>
      </c>
      <c r="C23" s="19" t="s">
        <v>39</v>
      </c>
      <c r="D23" s="20" t="s">
        <v>13</v>
      </c>
      <c r="E23" s="16"/>
      <c r="F23" s="16"/>
    </row>
    <row r="24">
      <c r="A24" s="17"/>
      <c r="B24" s="27" t="s">
        <v>40</v>
      </c>
      <c r="C24" s="20" t="s">
        <v>41</v>
      </c>
      <c r="D24" s="20" t="s">
        <v>42</v>
      </c>
      <c r="E24" s="16"/>
      <c r="F24" s="16"/>
    </row>
    <row r="25">
      <c r="A25" s="17"/>
      <c r="B25" s="17"/>
      <c r="C25" s="17"/>
      <c r="D25" s="20" t="s">
        <v>43</v>
      </c>
      <c r="E25" s="16"/>
      <c r="F25" s="16"/>
    </row>
    <row r="26">
      <c r="A26" s="17"/>
      <c r="B26" s="17"/>
      <c r="C26" s="17"/>
      <c r="D26" s="20" t="s">
        <v>44</v>
      </c>
      <c r="E26" s="16"/>
      <c r="F26" s="16"/>
    </row>
    <row r="27">
      <c r="A27" s="17"/>
      <c r="B27" s="17"/>
      <c r="C27" s="17"/>
      <c r="D27" s="20" t="s">
        <v>45</v>
      </c>
      <c r="E27" s="16"/>
      <c r="F27" s="16"/>
    </row>
    <row r="28">
      <c r="A28" s="17"/>
      <c r="B28" s="17"/>
      <c r="C28" s="17"/>
      <c r="D28" s="20" t="s">
        <v>46</v>
      </c>
      <c r="E28" s="16"/>
      <c r="F28" s="16"/>
    </row>
    <row r="29">
      <c r="A29" s="17"/>
      <c r="B29" s="19" t="s">
        <v>47</v>
      </c>
      <c r="C29" s="19" t="s">
        <v>48</v>
      </c>
      <c r="D29" s="27" t="s">
        <v>49</v>
      </c>
      <c r="E29" s="16"/>
      <c r="F29" s="16"/>
    </row>
    <row r="30">
      <c r="A30" s="17"/>
      <c r="B30" s="19" t="s">
        <v>50</v>
      </c>
      <c r="C30" s="19" t="s">
        <v>51</v>
      </c>
      <c r="D30" s="27" t="s">
        <v>52</v>
      </c>
      <c r="E30" s="16"/>
      <c r="F30" s="16"/>
    </row>
    <row r="31">
      <c r="A31" s="17"/>
      <c r="B31" s="17"/>
      <c r="C31" s="17"/>
      <c r="D31" s="27" t="s">
        <v>53</v>
      </c>
      <c r="E31" s="16"/>
      <c r="F31" s="16"/>
    </row>
    <row r="32">
      <c r="A32" s="17"/>
      <c r="B32" s="17"/>
      <c r="C32" s="17"/>
      <c r="D32" s="27" t="s">
        <v>54</v>
      </c>
      <c r="E32" s="16"/>
      <c r="F32" s="16"/>
    </row>
    <row r="33">
      <c r="A33" s="17"/>
      <c r="B33" s="17"/>
      <c r="C33" s="17"/>
      <c r="D33" s="27" t="s">
        <v>55</v>
      </c>
      <c r="E33" s="16"/>
      <c r="F33" s="16"/>
    </row>
    <row r="34">
      <c r="A34" s="17"/>
      <c r="B34" s="17"/>
      <c r="C34" s="17"/>
      <c r="D34" s="27" t="s">
        <v>56</v>
      </c>
      <c r="E34" s="16"/>
      <c r="F34" s="16"/>
    </row>
    <row r="35">
      <c r="A35" s="17"/>
      <c r="B35" s="17"/>
      <c r="C35" s="17"/>
      <c r="D35" s="27" t="s">
        <v>57</v>
      </c>
      <c r="E35" s="16"/>
      <c r="F35" s="16"/>
    </row>
    <row r="36">
      <c r="A36" s="17"/>
      <c r="B36" s="17"/>
      <c r="C36" s="17"/>
      <c r="D36" s="27" t="s">
        <v>58</v>
      </c>
      <c r="E36" s="16"/>
      <c r="F36" s="16"/>
    </row>
    <row r="37">
      <c r="A37" s="17"/>
      <c r="B37" s="17"/>
      <c r="C37" s="17"/>
      <c r="D37" s="18" t="s">
        <v>59</v>
      </c>
      <c r="E37" s="16"/>
      <c r="F37" s="16"/>
    </row>
    <row r="38">
      <c r="A38" s="17"/>
      <c r="B38" s="17"/>
      <c r="C38" s="17"/>
      <c r="D38" s="18" t="s">
        <v>60</v>
      </c>
      <c r="E38" s="16"/>
      <c r="F38" s="16"/>
    </row>
    <row r="39">
      <c r="A39" s="23"/>
      <c r="B39" s="23"/>
      <c r="C39" s="23"/>
      <c r="D39" s="28" t="s">
        <v>61</v>
      </c>
      <c r="E39" s="26"/>
      <c r="F39" s="26"/>
    </row>
    <row r="40">
      <c r="A40" s="13" t="s">
        <v>62</v>
      </c>
      <c r="B40" s="18" t="s">
        <v>63</v>
      </c>
      <c r="C40" s="19" t="s">
        <v>64</v>
      </c>
      <c r="D40" s="29" t="s">
        <v>64</v>
      </c>
      <c r="E40" s="16"/>
      <c r="F40" s="16"/>
    </row>
    <row r="41">
      <c r="A41" s="17"/>
      <c r="B41" s="17"/>
      <c r="C41" s="17"/>
      <c r="D41" s="29" t="s">
        <v>65</v>
      </c>
      <c r="E41" s="16"/>
      <c r="F41" s="16"/>
    </row>
    <row r="42">
      <c r="A42" s="17"/>
      <c r="B42" s="17"/>
      <c r="C42" s="17"/>
      <c r="D42" s="29" t="s">
        <v>66</v>
      </c>
      <c r="E42" s="16"/>
      <c r="F42" s="16"/>
    </row>
    <row r="43">
      <c r="A43" s="17"/>
      <c r="B43" s="22" t="s">
        <v>67</v>
      </c>
      <c r="C43" s="30"/>
      <c r="D43" s="29" t="s">
        <v>68</v>
      </c>
      <c r="E43" s="16"/>
      <c r="F43" s="16"/>
    </row>
    <row r="44">
      <c r="A44" s="17"/>
      <c r="B44" s="31"/>
      <c r="C44" s="31"/>
      <c r="D44" s="29" t="s">
        <v>69</v>
      </c>
      <c r="E44" s="16"/>
      <c r="F44" s="16"/>
    </row>
    <row r="45">
      <c r="A45" s="17"/>
      <c r="B45" s="31"/>
      <c r="C45" s="31"/>
      <c r="D45" s="29" t="s">
        <v>70</v>
      </c>
      <c r="E45" s="16"/>
      <c r="F45" s="16"/>
    </row>
    <row r="46">
      <c r="A46" s="17"/>
      <c r="B46" s="18" t="s">
        <v>71</v>
      </c>
      <c r="C46" s="19" t="s">
        <v>72</v>
      </c>
      <c r="D46" s="20" t="s">
        <v>73</v>
      </c>
      <c r="E46" s="16"/>
      <c r="F46" s="16"/>
    </row>
    <row r="47">
      <c r="A47" s="17"/>
      <c r="B47" s="18"/>
      <c r="C47" s="19"/>
      <c r="D47" s="29" t="s">
        <v>74</v>
      </c>
      <c r="E47" s="16"/>
      <c r="F47" s="16"/>
    </row>
    <row r="48">
      <c r="A48" s="17"/>
      <c r="B48" s="17"/>
      <c r="C48" s="17"/>
      <c r="D48" s="29" t="s">
        <v>73</v>
      </c>
      <c r="E48" s="16"/>
      <c r="F48" s="16"/>
    </row>
    <row r="49">
      <c r="A49" s="32" t="s">
        <v>75</v>
      </c>
      <c r="B49" s="14" t="s">
        <v>76</v>
      </c>
      <c r="C49" s="15" t="s">
        <v>77</v>
      </c>
      <c r="D49" s="15" t="s">
        <v>13</v>
      </c>
      <c r="E49" s="16"/>
      <c r="F49" s="16"/>
    </row>
    <row r="50">
      <c r="A50" s="17"/>
      <c r="B50" s="18" t="s">
        <v>78</v>
      </c>
      <c r="C50" s="20" t="s">
        <v>79</v>
      </c>
      <c r="D50" s="20" t="s">
        <v>13</v>
      </c>
      <c r="E50" s="16"/>
      <c r="F50" s="16"/>
    </row>
    <row r="51">
      <c r="A51" s="17"/>
      <c r="B51" s="27" t="s">
        <v>80</v>
      </c>
      <c r="C51" s="20" t="s">
        <v>81</v>
      </c>
      <c r="D51" s="20" t="s">
        <v>13</v>
      </c>
      <c r="E51" s="16"/>
      <c r="F51" s="16"/>
    </row>
    <row r="52">
      <c r="A52" s="17"/>
      <c r="B52" s="18" t="s">
        <v>82</v>
      </c>
      <c r="C52" s="20" t="s">
        <v>83</v>
      </c>
      <c r="D52" s="20" t="s">
        <v>84</v>
      </c>
      <c r="E52" s="16"/>
      <c r="F52" s="16"/>
    </row>
    <row r="53">
      <c r="A53" s="17"/>
      <c r="B53" s="18" t="s">
        <v>85</v>
      </c>
      <c r="C53" s="20" t="s">
        <v>86</v>
      </c>
      <c r="D53" s="20" t="s">
        <v>87</v>
      </c>
      <c r="E53" s="16"/>
      <c r="F53" s="16"/>
    </row>
    <row r="54">
      <c r="A54" s="17"/>
      <c r="B54" s="18" t="s">
        <v>88</v>
      </c>
      <c r="C54" s="20" t="s">
        <v>89</v>
      </c>
      <c r="D54" s="20" t="s">
        <v>90</v>
      </c>
      <c r="E54" s="16"/>
      <c r="F54" s="16"/>
    </row>
    <row r="55">
      <c r="A55" s="17"/>
      <c r="B55" s="18" t="s">
        <v>91</v>
      </c>
      <c r="C55" s="20" t="s">
        <v>92</v>
      </c>
      <c r="D55" s="20" t="s">
        <v>13</v>
      </c>
      <c r="E55" s="16"/>
      <c r="F55" s="16"/>
    </row>
    <row r="56">
      <c r="A56" s="17"/>
      <c r="B56" s="18" t="s">
        <v>93</v>
      </c>
      <c r="C56" s="20" t="s">
        <v>94</v>
      </c>
      <c r="D56" s="20" t="s">
        <v>90</v>
      </c>
      <c r="E56" s="16"/>
      <c r="F56" s="16"/>
    </row>
    <row r="57">
      <c r="A57" s="17"/>
      <c r="B57" s="18" t="s">
        <v>95</v>
      </c>
      <c r="C57" s="20" t="s">
        <v>96</v>
      </c>
      <c r="D57" s="19"/>
      <c r="E57" s="16"/>
      <c r="F57" s="16"/>
    </row>
    <row r="58">
      <c r="A58" s="17"/>
      <c r="B58" s="18" t="s">
        <v>97</v>
      </c>
      <c r="C58" s="20" t="s">
        <v>98</v>
      </c>
      <c r="D58" s="20" t="s">
        <v>99</v>
      </c>
      <c r="E58" s="16"/>
      <c r="F58" s="16"/>
    </row>
    <row r="59">
      <c r="A59" s="17"/>
      <c r="B59" s="17"/>
      <c r="C59" s="17"/>
      <c r="D59" s="20" t="s">
        <v>100</v>
      </c>
      <c r="E59" s="16"/>
      <c r="F59" s="16"/>
    </row>
    <row r="60">
      <c r="A60" s="23"/>
      <c r="B60" s="17"/>
      <c r="C60" s="17"/>
      <c r="D60" s="20" t="s">
        <v>101</v>
      </c>
      <c r="E60" s="16"/>
      <c r="F60" s="16"/>
    </row>
    <row r="61">
      <c r="A61" s="13" t="s">
        <v>102</v>
      </c>
      <c r="B61" s="33" t="s">
        <v>103</v>
      </c>
      <c r="C61" s="15" t="s">
        <v>104</v>
      </c>
      <c r="D61" s="15" t="s">
        <v>105</v>
      </c>
      <c r="E61" s="16"/>
      <c r="F61" s="16"/>
    </row>
    <row r="62">
      <c r="A62" s="17"/>
      <c r="B62" s="31"/>
      <c r="C62" s="17"/>
      <c r="D62" s="20" t="s">
        <v>106</v>
      </c>
      <c r="E62" s="16"/>
      <c r="F62" s="16"/>
    </row>
    <row r="63">
      <c r="A63" s="17"/>
      <c r="B63" s="31"/>
      <c r="C63" s="17"/>
      <c r="D63" s="20" t="s">
        <v>107</v>
      </c>
      <c r="E63" s="16"/>
      <c r="F63" s="16"/>
    </row>
    <row r="64">
      <c r="A64" s="23"/>
      <c r="B64" s="34" t="s">
        <v>108</v>
      </c>
      <c r="C64" s="35" t="s">
        <v>109</v>
      </c>
      <c r="D64" s="35" t="s">
        <v>110</v>
      </c>
      <c r="E64" s="26"/>
      <c r="F64" s="26"/>
    </row>
    <row r="65">
      <c r="A65" s="36"/>
      <c r="B65" s="37"/>
      <c r="C65" s="21"/>
      <c r="D65" s="21"/>
      <c r="E65" s="38"/>
      <c r="F65" s="38"/>
    </row>
  </sheetData>
  <mergeCells count="26">
    <mergeCell ref="B16:B22"/>
    <mergeCell ref="C16:C22"/>
    <mergeCell ref="B24:B28"/>
    <mergeCell ref="C24:C28"/>
    <mergeCell ref="B30:B39"/>
    <mergeCell ref="C30:C39"/>
    <mergeCell ref="C40:C42"/>
    <mergeCell ref="C43:C45"/>
    <mergeCell ref="C47:C48"/>
    <mergeCell ref="A6:D6"/>
    <mergeCell ref="A7:A15"/>
    <mergeCell ref="B9:B10"/>
    <mergeCell ref="C9:C10"/>
    <mergeCell ref="B12:B15"/>
    <mergeCell ref="C12:C15"/>
    <mergeCell ref="A16:A39"/>
    <mergeCell ref="B58:B60"/>
    <mergeCell ref="B61:B63"/>
    <mergeCell ref="A40:A48"/>
    <mergeCell ref="B40:B42"/>
    <mergeCell ref="B43:B45"/>
    <mergeCell ref="B47:B48"/>
    <mergeCell ref="A49:A60"/>
    <mergeCell ref="C58:C60"/>
    <mergeCell ref="A61:A64"/>
    <mergeCell ref="C61:C63"/>
  </mergeCells>
  <dataValidations>
    <dataValidation type="list" allowBlank="1" sqref="E7:E65">
      <formula1>"PENDING,PASSED,FAILED"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23.38"/>
    <col customWidth="1" min="2" max="2" width="45.63"/>
    <col customWidth="1" min="3" max="3" width="49.75"/>
    <col customWidth="1" min="4" max="4" width="69.13"/>
    <col customWidth="1" min="5" max="5" width="22.63" outlineLevel="1"/>
    <col customWidth="1" min="6" max="6" width="21.88" outlineLevel="1"/>
  </cols>
  <sheetData>
    <row r="1">
      <c r="A1" s="3"/>
      <c r="B1" s="39"/>
      <c r="C1" s="39"/>
      <c r="D1" s="39" t="s">
        <v>0</v>
      </c>
      <c r="E1" s="3"/>
      <c r="F1" s="3"/>
    </row>
    <row r="2">
      <c r="A2" s="3"/>
      <c r="B2" s="39"/>
      <c r="C2" s="39"/>
      <c r="D2" s="39" t="s">
        <v>1</v>
      </c>
      <c r="E2" s="3">
        <f>COUNTIF(E6:E144,"PASSED")</f>
        <v>0</v>
      </c>
      <c r="F2" s="3"/>
    </row>
    <row r="3">
      <c r="A3" s="3"/>
      <c r="B3" s="39"/>
      <c r="C3" s="39"/>
      <c r="D3" s="39" t="s">
        <v>2</v>
      </c>
      <c r="E3" s="3">
        <f>COUNTIF(E6:E144,"PASSED") + COUNTIF(E6:E144,"FAILED") + COUNTIF(E6:E144,"PENDING")</f>
        <v>0</v>
      </c>
      <c r="F3" s="3"/>
    </row>
    <row r="4">
      <c r="A4" s="3"/>
      <c r="B4" s="39"/>
      <c r="C4" s="39"/>
      <c r="D4" s="39" t="s">
        <v>3</v>
      </c>
      <c r="E4" s="4" t="str">
        <f>(E2/E3)</f>
        <v>#DIV/0!</v>
      </c>
      <c r="F4" s="4"/>
    </row>
    <row r="5">
      <c r="A5" s="40" t="s">
        <v>4</v>
      </c>
      <c r="B5" s="41" t="s">
        <v>5</v>
      </c>
      <c r="C5" s="41" t="s">
        <v>6</v>
      </c>
      <c r="D5" s="41" t="s">
        <v>7</v>
      </c>
      <c r="E5" s="8"/>
      <c r="F5" s="9" t="s">
        <v>8</v>
      </c>
    </row>
    <row r="6">
      <c r="A6" s="42" t="s">
        <v>111</v>
      </c>
      <c r="F6" s="17"/>
    </row>
    <row r="7">
      <c r="A7" s="13" t="s">
        <v>10</v>
      </c>
      <c r="B7" s="14" t="s">
        <v>11</v>
      </c>
      <c r="C7" s="15" t="s">
        <v>12</v>
      </c>
      <c r="D7" s="15" t="s">
        <v>13</v>
      </c>
      <c r="E7" s="16"/>
      <c r="F7" s="16"/>
    </row>
    <row r="8">
      <c r="A8" s="17"/>
      <c r="B8" s="18" t="s">
        <v>14</v>
      </c>
      <c r="C8" s="19" t="s">
        <v>15</v>
      </c>
      <c r="D8" s="20" t="s">
        <v>16</v>
      </c>
      <c r="E8" s="16"/>
      <c r="F8" s="16"/>
    </row>
    <row r="9">
      <c r="A9" s="17"/>
      <c r="B9" s="18" t="s">
        <v>17</v>
      </c>
      <c r="C9" s="19" t="s">
        <v>18</v>
      </c>
      <c r="D9" s="20" t="s">
        <v>19</v>
      </c>
      <c r="E9" s="16"/>
      <c r="F9" s="16"/>
    </row>
    <row r="10">
      <c r="A10" s="17"/>
      <c r="B10" s="17"/>
      <c r="C10" s="17"/>
      <c r="D10" s="20" t="s">
        <v>20</v>
      </c>
      <c r="E10" s="16"/>
      <c r="F10" s="16"/>
    </row>
    <row r="11">
      <c r="A11" s="17"/>
      <c r="B11" s="18" t="s">
        <v>22</v>
      </c>
      <c r="C11" s="21" t="s">
        <v>23</v>
      </c>
      <c r="D11" s="22" t="s">
        <v>24</v>
      </c>
      <c r="E11" s="16"/>
      <c r="F11" s="16"/>
    </row>
    <row r="12">
      <c r="A12" s="17"/>
      <c r="B12" s="17"/>
      <c r="D12" s="22" t="s">
        <v>26</v>
      </c>
      <c r="E12" s="16"/>
      <c r="F12" s="16"/>
    </row>
    <row r="13">
      <c r="A13" s="23"/>
      <c r="B13" s="23"/>
      <c r="C13" s="24"/>
      <c r="D13" s="25" t="s">
        <v>27</v>
      </c>
      <c r="E13" s="26"/>
      <c r="F13" s="26"/>
    </row>
    <row r="14">
      <c r="A14" s="6" t="s">
        <v>28</v>
      </c>
      <c r="B14" s="18" t="s">
        <v>29</v>
      </c>
      <c r="C14" s="19" t="s">
        <v>30</v>
      </c>
      <c r="D14" s="20" t="s">
        <v>31</v>
      </c>
      <c r="E14" s="16"/>
      <c r="F14" s="16"/>
    </row>
    <row r="15">
      <c r="A15" s="17"/>
      <c r="B15" s="17"/>
      <c r="C15" s="17"/>
      <c r="D15" s="20" t="s">
        <v>32</v>
      </c>
      <c r="E15" s="16"/>
      <c r="F15" s="16"/>
    </row>
    <row r="16">
      <c r="A16" s="17"/>
      <c r="B16" s="17"/>
      <c r="C16" s="17"/>
      <c r="D16" s="20" t="s">
        <v>33</v>
      </c>
      <c r="E16" s="16"/>
      <c r="F16" s="16"/>
    </row>
    <row r="17">
      <c r="A17" s="17"/>
      <c r="B17" s="17"/>
      <c r="C17" s="17"/>
      <c r="D17" s="20" t="s">
        <v>112</v>
      </c>
      <c r="E17" s="16"/>
      <c r="F17" s="16"/>
    </row>
    <row r="18">
      <c r="A18" s="17"/>
      <c r="B18" s="17"/>
      <c r="C18" s="17"/>
      <c r="D18" s="20" t="s">
        <v>34</v>
      </c>
      <c r="E18" s="16"/>
      <c r="F18" s="16"/>
    </row>
    <row r="19">
      <c r="A19" s="17"/>
      <c r="B19" s="17"/>
      <c r="C19" s="17"/>
      <c r="D19" s="20" t="s">
        <v>36</v>
      </c>
      <c r="E19" s="16"/>
      <c r="F19" s="16"/>
    </row>
    <row r="20">
      <c r="A20" s="17"/>
      <c r="B20" s="17"/>
      <c r="C20" s="17"/>
      <c r="D20" s="20" t="s">
        <v>37</v>
      </c>
      <c r="E20" s="16"/>
      <c r="F20" s="16"/>
    </row>
    <row r="21">
      <c r="A21" s="17"/>
      <c r="B21" s="17"/>
      <c r="C21" s="17"/>
      <c r="D21" s="20" t="s">
        <v>35</v>
      </c>
      <c r="E21" s="16"/>
      <c r="F21" s="16"/>
    </row>
    <row r="22">
      <c r="A22" s="17"/>
      <c r="B22" s="43" t="s">
        <v>38</v>
      </c>
      <c r="C22" s="29" t="s">
        <v>39</v>
      </c>
      <c r="D22" s="29" t="s">
        <v>87</v>
      </c>
      <c r="E22" s="16"/>
      <c r="F22" s="16"/>
    </row>
    <row r="23">
      <c r="A23" s="17"/>
      <c r="B23" s="44" t="s">
        <v>113</v>
      </c>
      <c r="C23" s="29" t="s">
        <v>114</v>
      </c>
      <c r="D23" s="29" t="s">
        <v>87</v>
      </c>
      <c r="E23" s="16"/>
      <c r="F23" s="16"/>
    </row>
    <row r="24">
      <c r="A24" s="17"/>
      <c r="B24" s="29" t="s">
        <v>40</v>
      </c>
      <c r="C24" s="29" t="s">
        <v>41</v>
      </c>
      <c r="D24" s="29" t="s">
        <v>115</v>
      </c>
      <c r="E24" s="16"/>
      <c r="F24" s="16"/>
    </row>
    <row r="25">
      <c r="A25" s="17"/>
      <c r="B25" s="31"/>
      <c r="C25" s="31"/>
      <c r="D25" s="29" t="s">
        <v>116</v>
      </c>
      <c r="E25" s="16"/>
      <c r="F25" s="16"/>
    </row>
    <row r="26">
      <c r="A26" s="17"/>
      <c r="B26" s="31"/>
      <c r="C26" s="31"/>
      <c r="D26" s="29" t="s">
        <v>117</v>
      </c>
      <c r="E26" s="16"/>
      <c r="F26" s="16"/>
    </row>
    <row r="27">
      <c r="A27" s="17"/>
      <c r="B27" s="31"/>
      <c r="C27" s="31"/>
      <c r="D27" s="45" t="s">
        <v>118</v>
      </c>
      <c r="E27" s="16"/>
      <c r="F27" s="16"/>
    </row>
    <row r="28">
      <c r="A28" s="17"/>
      <c r="B28" s="31"/>
      <c r="C28" s="31"/>
      <c r="D28" s="45" t="s">
        <v>46</v>
      </c>
      <c r="E28" s="16"/>
      <c r="F28" s="16"/>
    </row>
    <row r="29">
      <c r="A29" s="17"/>
      <c r="B29" s="31"/>
      <c r="C29" s="31"/>
      <c r="D29" s="45" t="s">
        <v>119</v>
      </c>
      <c r="E29" s="16"/>
      <c r="F29" s="16"/>
    </row>
    <row r="30">
      <c r="A30" s="17"/>
      <c r="B30" s="31"/>
      <c r="C30" s="31"/>
      <c r="D30" s="45" t="s">
        <v>120</v>
      </c>
      <c r="E30" s="16"/>
      <c r="F30" s="16"/>
    </row>
    <row r="31">
      <c r="A31" s="17"/>
      <c r="B31" s="29" t="s">
        <v>47</v>
      </c>
      <c r="C31" s="29" t="s">
        <v>48</v>
      </c>
      <c r="D31" s="46" t="s">
        <v>49</v>
      </c>
      <c r="E31" s="16"/>
      <c r="F31" s="16"/>
    </row>
    <row r="32">
      <c r="A32" s="17"/>
      <c r="B32" s="29" t="s">
        <v>121</v>
      </c>
      <c r="C32" s="29"/>
      <c r="D32" s="46" t="s">
        <v>122</v>
      </c>
      <c r="E32" s="16"/>
      <c r="F32" s="16"/>
    </row>
    <row r="33">
      <c r="A33" s="17"/>
      <c r="B33" s="31"/>
      <c r="C33" s="31"/>
      <c r="D33" s="46" t="s">
        <v>123</v>
      </c>
      <c r="E33" s="16"/>
      <c r="F33" s="16"/>
    </row>
    <row r="34">
      <c r="A34" s="17"/>
      <c r="B34" s="31"/>
      <c r="C34" s="31"/>
      <c r="D34" s="46" t="s">
        <v>124</v>
      </c>
      <c r="E34" s="16"/>
      <c r="F34" s="16"/>
    </row>
    <row r="35">
      <c r="A35" s="17"/>
      <c r="B35" s="29" t="s">
        <v>125</v>
      </c>
      <c r="C35" s="29" t="s">
        <v>51</v>
      </c>
      <c r="D35" s="47" t="s">
        <v>126</v>
      </c>
      <c r="E35" s="16"/>
      <c r="F35" s="16"/>
    </row>
    <row r="36">
      <c r="A36" s="17"/>
      <c r="B36" s="31"/>
      <c r="C36" s="31"/>
      <c r="D36" s="46"/>
      <c r="E36" s="16"/>
      <c r="F36" s="16"/>
    </row>
    <row r="37">
      <c r="A37" s="17"/>
      <c r="B37" s="31"/>
      <c r="C37" s="31"/>
      <c r="D37" s="46" t="s">
        <v>59</v>
      </c>
      <c r="E37" s="16"/>
      <c r="F37" s="16"/>
    </row>
    <row r="38">
      <c r="A38" s="17"/>
      <c r="B38" s="31"/>
      <c r="C38" s="31"/>
      <c r="D38" s="27"/>
      <c r="E38" s="16"/>
      <c r="F38" s="16"/>
    </row>
    <row r="39">
      <c r="A39" s="17"/>
      <c r="B39" s="31"/>
      <c r="C39" s="31"/>
      <c r="D39" s="27" t="s">
        <v>57</v>
      </c>
      <c r="E39" s="16"/>
      <c r="F39" s="16"/>
    </row>
    <row r="40">
      <c r="A40" s="17"/>
      <c r="B40" s="31"/>
      <c r="C40" s="31"/>
      <c r="D40" s="27" t="s">
        <v>58</v>
      </c>
      <c r="E40" s="16"/>
      <c r="F40" s="16"/>
    </row>
    <row r="41">
      <c r="A41" s="17"/>
      <c r="B41" s="31"/>
      <c r="C41" s="31"/>
      <c r="D41" s="46" t="s">
        <v>60</v>
      </c>
      <c r="E41" s="16"/>
      <c r="F41" s="16"/>
    </row>
    <row r="42">
      <c r="A42" s="17"/>
      <c r="B42" s="29" t="s">
        <v>127</v>
      </c>
      <c r="C42" s="48" t="s">
        <v>51</v>
      </c>
      <c r="D42" s="33" t="s">
        <v>126</v>
      </c>
      <c r="E42" s="26"/>
      <c r="F42" s="26"/>
    </row>
    <row r="43">
      <c r="A43" s="17"/>
      <c r="B43" s="31"/>
      <c r="C43" s="49"/>
      <c r="D43" s="46" t="s">
        <v>128</v>
      </c>
      <c r="E43" s="16"/>
      <c r="F43" s="16"/>
    </row>
    <row r="44">
      <c r="A44" s="17"/>
      <c r="B44" s="31"/>
      <c r="C44" s="49"/>
      <c r="D44" s="46" t="s">
        <v>55</v>
      </c>
      <c r="E44" s="16"/>
      <c r="F44" s="16"/>
    </row>
    <row r="45">
      <c r="A45" s="17"/>
      <c r="B45" s="31"/>
      <c r="C45" s="49"/>
      <c r="D45" s="46" t="s">
        <v>56</v>
      </c>
      <c r="E45" s="16"/>
      <c r="F45" s="16"/>
    </row>
    <row r="46">
      <c r="A46" s="17"/>
      <c r="B46" s="31"/>
      <c r="C46" s="49"/>
      <c r="D46" s="46" t="s">
        <v>57</v>
      </c>
      <c r="E46" s="16"/>
      <c r="F46" s="16"/>
    </row>
    <row r="47">
      <c r="A47" s="17"/>
      <c r="B47" s="31"/>
      <c r="C47" s="49"/>
      <c r="D47" s="46" t="s">
        <v>58</v>
      </c>
      <c r="E47" s="16"/>
      <c r="F47" s="16"/>
    </row>
    <row r="48">
      <c r="A48" s="17"/>
      <c r="B48" s="31"/>
      <c r="C48" s="49"/>
      <c r="D48" s="46" t="s">
        <v>59</v>
      </c>
      <c r="E48" s="16"/>
      <c r="F48" s="16"/>
    </row>
    <row r="49">
      <c r="A49" s="17"/>
      <c r="B49" s="31"/>
      <c r="C49" s="49"/>
      <c r="D49" s="46" t="s">
        <v>60</v>
      </c>
      <c r="E49" s="16"/>
      <c r="F49" s="16"/>
    </row>
    <row r="50">
      <c r="A50" s="17"/>
      <c r="B50" s="31"/>
      <c r="C50" s="49"/>
      <c r="D50" s="46" t="s">
        <v>129</v>
      </c>
      <c r="E50" s="16"/>
      <c r="F50" s="16"/>
    </row>
    <row r="51">
      <c r="A51" s="23"/>
      <c r="B51" s="50"/>
      <c r="C51" s="51"/>
      <c r="D51" s="46" t="s">
        <v>130</v>
      </c>
      <c r="E51" s="16"/>
      <c r="F51" s="16"/>
    </row>
    <row r="52">
      <c r="A52" s="16" t="s">
        <v>62</v>
      </c>
      <c r="B52" s="22" t="s">
        <v>67</v>
      </c>
      <c r="C52" s="30"/>
      <c r="D52" s="29" t="s">
        <v>68</v>
      </c>
      <c r="E52" s="16"/>
      <c r="F52" s="16"/>
    </row>
    <row r="53">
      <c r="A53" s="17"/>
      <c r="B53" s="31"/>
      <c r="C53" s="31"/>
      <c r="D53" s="29" t="s">
        <v>69</v>
      </c>
      <c r="E53" s="16"/>
      <c r="F53" s="16"/>
    </row>
    <row r="54">
      <c r="A54" s="17"/>
      <c r="B54" s="31"/>
      <c r="C54" s="31"/>
      <c r="D54" s="29" t="s">
        <v>131</v>
      </c>
      <c r="E54" s="16"/>
      <c r="F54" s="16"/>
    </row>
    <row r="55">
      <c r="A55" s="17"/>
      <c r="B55" s="31"/>
      <c r="C55" s="31"/>
      <c r="D55" s="29" t="s">
        <v>132</v>
      </c>
      <c r="E55" s="16"/>
      <c r="F55" s="16"/>
    </row>
    <row r="56">
      <c r="A56" s="17"/>
      <c r="B56" s="22" t="s">
        <v>63</v>
      </c>
      <c r="C56" s="29"/>
      <c r="D56" s="29" t="s">
        <v>64</v>
      </c>
      <c r="E56" s="16"/>
      <c r="F56" s="16"/>
    </row>
    <row r="57">
      <c r="A57" s="17"/>
      <c r="B57" s="31"/>
      <c r="C57" s="31"/>
      <c r="D57" s="29" t="s">
        <v>65</v>
      </c>
      <c r="E57" s="16"/>
      <c r="F57" s="16"/>
    </row>
    <row r="58">
      <c r="A58" s="17"/>
      <c r="B58" s="31"/>
      <c r="C58" s="31"/>
      <c r="D58" s="29" t="s">
        <v>66</v>
      </c>
      <c r="E58" s="16"/>
      <c r="F58" s="16"/>
    </row>
    <row r="59">
      <c r="A59" s="17"/>
      <c r="B59" s="22" t="s">
        <v>71</v>
      </c>
      <c r="C59" s="29" t="s">
        <v>72</v>
      </c>
      <c r="D59" s="29" t="s">
        <v>133</v>
      </c>
      <c r="E59" s="16"/>
      <c r="F59" s="16"/>
    </row>
    <row r="60">
      <c r="A60" s="17"/>
      <c r="B60" s="22"/>
      <c r="C60" s="29"/>
      <c r="D60" s="29" t="s">
        <v>134</v>
      </c>
      <c r="E60" s="16"/>
      <c r="F60" s="16"/>
    </row>
    <row r="61">
      <c r="A61" s="17"/>
      <c r="B61" s="22"/>
      <c r="C61" s="29"/>
      <c r="D61" s="29" t="s">
        <v>135</v>
      </c>
      <c r="E61" s="16"/>
      <c r="F61" s="16"/>
    </row>
    <row r="62">
      <c r="A62" s="17"/>
      <c r="B62" s="22" t="s">
        <v>136</v>
      </c>
      <c r="C62" s="29" t="s">
        <v>137</v>
      </c>
      <c r="D62" s="29" t="s">
        <v>138</v>
      </c>
      <c r="E62" s="16"/>
      <c r="F62" s="16"/>
    </row>
    <row r="63">
      <c r="A63" s="17"/>
      <c r="B63" s="31"/>
      <c r="C63" s="31"/>
      <c r="D63" s="52" t="s">
        <v>139</v>
      </c>
      <c r="E63" s="16"/>
      <c r="F63" s="16"/>
    </row>
    <row r="64">
      <c r="A64" s="17"/>
      <c r="B64" s="31"/>
      <c r="C64" s="31"/>
      <c r="D64" s="29" t="s">
        <v>74</v>
      </c>
      <c r="E64" s="16"/>
      <c r="F64" s="16"/>
    </row>
    <row r="65">
      <c r="A65" s="17"/>
      <c r="B65" s="31"/>
      <c r="C65" s="31"/>
      <c r="D65" s="29" t="s">
        <v>140</v>
      </c>
      <c r="E65" s="16"/>
      <c r="F65" s="16"/>
    </row>
    <row r="66">
      <c r="A66" s="53" t="s">
        <v>141</v>
      </c>
      <c r="B66" s="54" t="s">
        <v>142</v>
      </c>
      <c r="C66" s="55" t="s">
        <v>143</v>
      </c>
      <c r="D66" s="29" t="s">
        <v>144</v>
      </c>
      <c r="E66" s="16"/>
      <c r="F66" s="16"/>
    </row>
    <row r="67">
      <c r="A67" s="17"/>
      <c r="B67" s="31"/>
      <c r="C67" s="31"/>
      <c r="D67" s="29" t="s">
        <v>145</v>
      </c>
      <c r="E67" s="16"/>
      <c r="F67" s="16"/>
    </row>
    <row r="68">
      <c r="A68" s="17"/>
      <c r="B68" s="31"/>
      <c r="C68" s="31"/>
      <c r="D68" s="29" t="s">
        <v>146</v>
      </c>
      <c r="E68" s="16"/>
      <c r="F68" s="16"/>
    </row>
    <row r="69">
      <c r="A69" s="17"/>
      <c r="B69" s="31"/>
      <c r="C69" s="31"/>
      <c r="D69" s="29" t="s">
        <v>147</v>
      </c>
      <c r="E69" s="16"/>
      <c r="F69" s="16"/>
    </row>
    <row r="70">
      <c r="A70" s="17"/>
      <c r="B70" s="31"/>
      <c r="C70" s="31"/>
      <c r="D70" s="29" t="s">
        <v>148</v>
      </c>
      <c r="E70" s="16"/>
      <c r="F70" s="16"/>
    </row>
    <row r="71">
      <c r="A71" s="17"/>
      <c r="B71" s="31"/>
      <c r="C71" s="31"/>
      <c r="D71" s="29" t="s">
        <v>149</v>
      </c>
      <c r="E71" s="16"/>
      <c r="F71" s="16"/>
    </row>
    <row r="72">
      <c r="A72" s="17"/>
      <c r="B72" s="31"/>
      <c r="C72" s="31"/>
      <c r="D72" s="29" t="s">
        <v>150</v>
      </c>
      <c r="E72" s="16"/>
      <c r="F72" s="16"/>
    </row>
    <row r="73">
      <c r="A73" s="17"/>
      <c r="B73" s="31"/>
      <c r="C73" s="31"/>
      <c r="D73" s="29" t="s">
        <v>151</v>
      </c>
      <c r="E73" s="16"/>
      <c r="F73" s="16"/>
    </row>
    <row r="74">
      <c r="A74" s="17"/>
      <c r="B74" s="31"/>
      <c r="C74" s="31"/>
      <c r="D74" s="29" t="s">
        <v>152</v>
      </c>
      <c r="E74" s="16"/>
      <c r="F74" s="16"/>
    </row>
    <row r="75">
      <c r="A75" s="17"/>
      <c r="B75" s="22" t="s">
        <v>153</v>
      </c>
      <c r="C75" s="29" t="s">
        <v>154</v>
      </c>
      <c r="D75" s="29" t="s">
        <v>155</v>
      </c>
      <c r="E75" s="16"/>
      <c r="F75" s="16"/>
    </row>
    <row r="76">
      <c r="A76" s="17"/>
      <c r="B76" s="31"/>
      <c r="C76" s="31"/>
      <c r="D76" s="29" t="s">
        <v>156</v>
      </c>
      <c r="E76" s="16"/>
      <c r="F76" s="16"/>
    </row>
    <row r="77">
      <c r="A77" s="17"/>
      <c r="B77" s="31"/>
      <c r="C77" s="31"/>
      <c r="D77" s="56" t="s">
        <v>157</v>
      </c>
      <c r="E77" s="16"/>
      <c r="F77" s="16"/>
    </row>
    <row r="78">
      <c r="A78" s="17"/>
      <c r="B78" s="31"/>
      <c r="C78" s="31"/>
      <c r="D78" s="29" t="s">
        <v>158</v>
      </c>
      <c r="E78" s="16"/>
      <c r="F78" s="16"/>
    </row>
    <row r="79">
      <c r="A79" s="17"/>
      <c r="B79" s="22" t="s">
        <v>159</v>
      </c>
      <c r="C79" s="29" t="s">
        <v>160</v>
      </c>
      <c r="D79" s="29" t="s">
        <v>13</v>
      </c>
      <c r="E79" s="16"/>
      <c r="F79" s="16"/>
    </row>
    <row r="80">
      <c r="A80" s="17"/>
      <c r="B80" s="22" t="s">
        <v>161</v>
      </c>
      <c r="C80" s="29"/>
      <c r="D80" s="29" t="s">
        <v>162</v>
      </c>
      <c r="E80" s="16"/>
      <c r="F80" s="16"/>
    </row>
    <row r="81">
      <c r="A81" s="17"/>
      <c r="B81" s="31"/>
      <c r="C81" s="31"/>
      <c r="D81" s="29" t="s">
        <v>163</v>
      </c>
      <c r="E81" s="16"/>
      <c r="F81" s="16"/>
    </row>
    <row r="82">
      <c r="A82" s="17"/>
      <c r="B82" s="31"/>
      <c r="C82" s="31"/>
      <c r="D82" s="29" t="s">
        <v>164</v>
      </c>
      <c r="E82" s="16"/>
      <c r="F82" s="16"/>
    </row>
    <row r="83">
      <c r="A83" s="17"/>
      <c r="B83" s="22" t="s">
        <v>165</v>
      </c>
      <c r="C83" s="29"/>
      <c r="D83" s="29" t="s">
        <v>162</v>
      </c>
      <c r="E83" s="16"/>
      <c r="F83" s="16"/>
    </row>
    <row r="84">
      <c r="A84" s="17"/>
      <c r="B84" s="31"/>
      <c r="C84" s="31"/>
      <c r="D84" s="29" t="s">
        <v>166</v>
      </c>
      <c r="E84" s="16"/>
      <c r="F84" s="16"/>
    </row>
    <row r="85">
      <c r="A85" s="17"/>
      <c r="B85" s="22" t="s">
        <v>167</v>
      </c>
      <c r="C85" s="29"/>
      <c r="D85" s="29" t="s">
        <v>162</v>
      </c>
      <c r="E85" s="16"/>
      <c r="F85" s="16"/>
    </row>
    <row r="86">
      <c r="A86" s="17"/>
      <c r="B86" s="31"/>
      <c r="C86" s="31"/>
      <c r="D86" s="29" t="s">
        <v>168</v>
      </c>
      <c r="E86" s="16"/>
      <c r="F86" s="16"/>
    </row>
    <row r="87">
      <c r="A87" s="17"/>
      <c r="B87" s="31"/>
      <c r="C87" s="31"/>
      <c r="D87" s="57" t="s">
        <v>169</v>
      </c>
      <c r="E87" s="16"/>
      <c r="F87" s="16"/>
    </row>
    <row r="88">
      <c r="A88" s="17"/>
      <c r="B88" s="22" t="s">
        <v>170</v>
      </c>
      <c r="C88" s="29"/>
      <c r="D88" s="29" t="s">
        <v>162</v>
      </c>
      <c r="E88" s="16"/>
      <c r="F88" s="16"/>
    </row>
    <row r="89">
      <c r="A89" s="17"/>
      <c r="B89" s="31"/>
      <c r="C89" s="31"/>
      <c r="D89" s="29" t="s">
        <v>171</v>
      </c>
      <c r="E89" s="16"/>
      <c r="F89" s="16"/>
    </row>
    <row r="90">
      <c r="A90" s="17"/>
      <c r="B90" s="31"/>
      <c r="C90" s="31"/>
      <c r="D90" s="29" t="s">
        <v>172</v>
      </c>
      <c r="E90" s="16"/>
      <c r="F90" s="16"/>
    </row>
    <row r="91">
      <c r="A91" s="17"/>
      <c r="B91" s="31"/>
      <c r="C91" s="31"/>
      <c r="D91" s="57" t="s">
        <v>173</v>
      </c>
      <c r="E91" s="16"/>
      <c r="F91" s="16"/>
    </row>
    <row r="92">
      <c r="A92" s="17"/>
      <c r="B92" s="22" t="s">
        <v>174</v>
      </c>
      <c r="C92" s="29"/>
      <c r="D92" s="29" t="s">
        <v>162</v>
      </c>
      <c r="E92" s="16"/>
      <c r="F92" s="16"/>
    </row>
    <row r="93">
      <c r="A93" s="17"/>
      <c r="B93" s="31"/>
      <c r="C93" s="31"/>
      <c r="D93" s="29" t="s">
        <v>175</v>
      </c>
      <c r="E93" s="16"/>
      <c r="F93" s="16"/>
    </row>
    <row r="94">
      <c r="A94" s="17"/>
      <c r="B94" s="31"/>
      <c r="C94" s="31"/>
      <c r="D94" s="57" t="s">
        <v>176</v>
      </c>
      <c r="E94" s="16"/>
      <c r="F94" s="16"/>
    </row>
    <row r="95">
      <c r="A95" s="17"/>
      <c r="B95" s="22" t="s">
        <v>177</v>
      </c>
      <c r="C95" s="29"/>
      <c r="D95" s="29" t="s">
        <v>178</v>
      </c>
      <c r="E95" s="16"/>
      <c r="F95" s="16"/>
    </row>
    <row r="96">
      <c r="A96" s="17"/>
      <c r="B96" s="31"/>
      <c r="C96" s="31"/>
      <c r="D96" s="29" t="s">
        <v>179</v>
      </c>
      <c r="E96" s="16"/>
      <c r="F96" s="16"/>
    </row>
    <row r="97">
      <c r="A97" s="17"/>
      <c r="B97" s="31"/>
      <c r="C97" s="31"/>
      <c r="D97" s="29" t="s">
        <v>180</v>
      </c>
      <c r="E97" s="16"/>
      <c r="F97" s="16"/>
    </row>
    <row r="98">
      <c r="A98" s="17"/>
      <c r="B98" s="22" t="s">
        <v>181</v>
      </c>
      <c r="C98" s="29"/>
      <c r="D98" s="29" t="s">
        <v>182</v>
      </c>
      <c r="E98" s="16"/>
      <c r="F98" s="16"/>
    </row>
    <row r="99" ht="30.75" customHeight="1">
      <c r="A99" s="17"/>
      <c r="B99" s="22" t="s">
        <v>183</v>
      </c>
      <c r="C99" s="29"/>
      <c r="D99" s="29" t="s">
        <v>184</v>
      </c>
      <c r="E99" s="16"/>
      <c r="F99" s="16"/>
    </row>
    <row r="100">
      <c r="A100" s="17"/>
      <c r="B100" s="31"/>
      <c r="C100" s="31"/>
      <c r="D100" s="29" t="s">
        <v>185</v>
      </c>
      <c r="E100" s="16"/>
      <c r="F100" s="16"/>
    </row>
    <row r="101">
      <c r="A101" s="17"/>
      <c r="B101" s="31"/>
      <c r="C101" s="31"/>
      <c r="D101" s="29" t="s">
        <v>186</v>
      </c>
      <c r="E101" s="16"/>
      <c r="F101" s="16"/>
    </row>
    <row r="102">
      <c r="A102" s="17"/>
      <c r="B102" s="22" t="s">
        <v>187</v>
      </c>
      <c r="C102" s="29"/>
      <c r="D102" s="29" t="s">
        <v>188</v>
      </c>
      <c r="E102" s="16"/>
      <c r="F102" s="16"/>
    </row>
    <row r="103">
      <c r="A103" s="17"/>
      <c r="B103" s="43" t="s">
        <v>189</v>
      </c>
      <c r="C103" s="29"/>
      <c r="D103" s="29" t="s">
        <v>13</v>
      </c>
      <c r="E103" s="16"/>
      <c r="F103" s="16"/>
    </row>
    <row r="104">
      <c r="A104" s="23"/>
      <c r="B104" s="44" t="s">
        <v>190</v>
      </c>
      <c r="C104" s="58"/>
      <c r="D104" s="59" t="s">
        <v>13</v>
      </c>
      <c r="E104" s="16"/>
      <c r="F104" s="16"/>
    </row>
    <row r="105">
      <c r="A105" s="60" t="s">
        <v>75</v>
      </c>
      <c r="B105" s="61" t="s">
        <v>76</v>
      </c>
      <c r="C105" s="29"/>
      <c r="D105" s="29" t="s">
        <v>191</v>
      </c>
      <c r="E105" s="16"/>
      <c r="F105" s="16"/>
    </row>
    <row r="106">
      <c r="A106" s="17"/>
      <c r="B106" s="31"/>
      <c r="C106" s="31"/>
      <c r="D106" s="29" t="s">
        <v>192</v>
      </c>
      <c r="E106" s="16"/>
      <c r="F106" s="16"/>
    </row>
    <row r="107">
      <c r="A107" s="17"/>
      <c r="B107" s="31"/>
      <c r="C107" s="31"/>
      <c r="D107" s="29" t="s">
        <v>193</v>
      </c>
      <c r="E107" s="16"/>
      <c r="F107" s="16"/>
    </row>
    <row r="108">
      <c r="A108" s="17"/>
      <c r="B108" s="31"/>
      <c r="C108" s="31"/>
      <c r="D108" s="29" t="s">
        <v>194</v>
      </c>
      <c r="E108" s="16"/>
      <c r="F108" s="16"/>
    </row>
    <row r="109">
      <c r="A109" s="17"/>
      <c r="B109" s="31"/>
      <c r="C109" s="31"/>
      <c r="D109" s="29" t="s">
        <v>195</v>
      </c>
      <c r="E109" s="16"/>
      <c r="F109" s="16"/>
    </row>
    <row r="110">
      <c r="A110" s="17"/>
      <c r="B110" s="31"/>
      <c r="C110" s="31"/>
      <c r="D110" s="29" t="s">
        <v>196</v>
      </c>
      <c r="E110" s="16"/>
      <c r="F110" s="16"/>
    </row>
    <row r="111">
      <c r="A111" s="17"/>
      <c r="B111" s="31"/>
      <c r="C111" s="31"/>
      <c r="D111" s="29" t="s">
        <v>197</v>
      </c>
      <c r="E111" s="16"/>
      <c r="F111" s="16"/>
    </row>
    <row r="112">
      <c r="A112" s="17"/>
      <c r="B112" s="31"/>
      <c r="C112" s="31"/>
      <c r="D112" s="29" t="s">
        <v>198</v>
      </c>
      <c r="E112" s="16"/>
      <c r="F112" s="16"/>
    </row>
    <row r="113">
      <c r="A113" s="17"/>
      <c r="B113" s="27" t="s">
        <v>80</v>
      </c>
      <c r="C113" s="20" t="s">
        <v>81</v>
      </c>
      <c r="D113" s="29"/>
      <c r="E113" s="16"/>
      <c r="F113" s="16"/>
    </row>
    <row r="114">
      <c r="A114" s="17"/>
      <c r="B114" s="44" t="s">
        <v>78</v>
      </c>
      <c r="C114" s="29"/>
      <c r="D114" s="29" t="s">
        <v>199</v>
      </c>
      <c r="E114" s="16"/>
      <c r="F114" s="16"/>
    </row>
    <row r="115">
      <c r="A115" s="17"/>
      <c r="B115" s="31"/>
      <c r="C115" s="31"/>
      <c r="D115" s="29" t="s">
        <v>200</v>
      </c>
      <c r="E115" s="16"/>
      <c r="F115" s="16"/>
    </row>
    <row r="116">
      <c r="A116" s="17"/>
      <c r="B116" s="31"/>
      <c r="C116" s="31"/>
      <c r="D116" s="29" t="s">
        <v>201</v>
      </c>
      <c r="E116" s="16"/>
      <c r="F116" s="16"/>
    </row>
    <row r="117">
      <c r="A117" s="17"/>
      <c r="B117" s="44" t="s">
        <v>82</v>
      </c>
      <c r="C117" s="29"/>
      <c r="D117" s="29" t="s">
        <v>202</v>
      </c>
      <c r="E117" s="16"/>
      <c r="F117" s="16"/>
    </row>
    <row r="118">
      <c r="A118" s="17"/>
      <c r="B118" s="44" t="s">
        <v>88</v>
      </c>
      <c r="C118" s="29"/>
      <c r="D118" s="29" t="s">
        <v>203</v>
      </c>
      <c r="E118" s="16"/>
      <c r="F118" s="16"/>
    </row>
    <row r="119">
      <c r="A119" s="17"/>
      <c r="B119" s="44" t="s">
        <v>91</v>
      </c>
      <c r="C119" s="29"/>
      <c r="D119" s="29"/>
      <c r="E119" s="16"/>
      <c r="F119" s="16"/>
    </row>
    <row r="120">
      <c r="A120" s="17"/>
      <c r="B120" s="44" t="s">
        <v>93</v>
      </c>
      <c r="C120" s="29"/>
      <c r="D120" s="29"/>
      <c r="E120" s="16"/>
      <c r="F120" s="16"/>
    </row>
    <row r="121">
      <c r="A121" s="17"/>
      <c r="B121" s="44" t="s">
        <v>95</v>
      </c>
      <c r="C121" s="29"/>
      <c r="D121" s="29" t="s">
        <v>13</v>
      </c>
      <c r="E121" s="16"/>
      <c r="F121" s="16"/>
    </row>
    <row r="122" ht="16.5" customHeight="1">
      <c r="A122" s="17"/>
      <c r="B122" s="44" t="s">
        <v>97</v>
      </c>
      <c r="C122" s="29"/>
      <c r="D122" s="29" t="s">
        <v>204</v>
      </c>
      <c r="E122" s="16"/>
      <c r="F122" s="16"/>
    </row>
    <row r="123">
      <c r="A123" s="17"/>
      <c r="B123" s="44" t="s">
        <v>205</v>
      </c>
      <c r="C123" s="29"/>
      <c r="D123" s="29"/>
      <c r="E123" s="16"/>
      <c r="F123" s="16"/>
    </row>
    <row r="124">
      <c r="A124" s="23"/>
      <c r="B124" s="44" t="s">
        <v>206</v>
      </c>
      <c r="C124" s="59"/>
      <c r="D124" s="59"/>
      <c r="E124" s="16"/>
      <c r="F124" s="16"/>
    </row>
    <row r="125">
      <c r="A125" s="16" t="s">
        <v>102</v>
      </c>
      <c r="B125" s="61" t="s">
        <v>103</v>
      </c>
      <c r="C125" s="29" t="s">
        <v>104</v>
      </c>
      <c r="D125" s="29" t="s">
        <v>207</v>
      </c>
      <c r="E125" s="16"/>
      <c r="F125" s="16"/>
    </row>
    <row r="126">
      <c r="A126" s="17"/>
      <c r="B126" s="31"/>
      <c r="C126" s="31"/>
      <c r="D126" s="29" t="s">
        <v>106</v>
      </c>
      <c r="E126" s="16"/>
      <c r="F126" s="16"/>
    </row>
    <row r="127">
      <c r="A127" s="17"/>
      <c r="B127" s="31"/>
      <c r="C127" s="31"/>
      <c r="D127" s="29" t="s">
        <v>208</v>
      </c>
      <c r="E127" s="16"/>
      <c r="F127" s="16"/>
    </row>
    <row r="128">
      <c r="A128" s="17"/>
      <c r="B128" s="31"/>
      <c r="C128" s="31"/>
      <c r="D128" s="29" t="s">
        <v>209</v>
      </c>
      <c r="E128" s="16"/>
      <c r="F128" s="16"/>
    </row>
    <row r="129">
      <c r="A129" s="17"/>
      <c r="B129" s="31"/>
      <c r="C129" s="31"/>
      <c r="D129" s="29" t="s">
        <v>210</v>
      </c>
      <c r="E129" s="16"/>
      <c r="F129" s="16"/>
    </row>
    <row r="130">
      <c r="A130" s="17"/>
      <c r="B130" s="31"/>
      <c r="C130" s="31"/>
      <c r="D130" s="29" t="s">
        <v>211</v>
      </c>
      <c r="E130" s="16"/>
      <c r="F130" s="16"/>
    </row>
    <row r="131">
      <c r="A131" s="17"/>
      <c r="B131" s="31"/>
      <c r="C131" s="31"/>
      <c r="D131" s="29" t="s">
        <v>212</v>
      </c>
      <c r="E131" s="16"/>
      <c r="F131" s="16"/>
    </row>
    <row r="132">
      <c r="A132" s="17"/>
      <c r="B132" s="44" t="s">
        <v>213</v>
      </c>
      <c r="C132" s="29"/>
      <c r="D132" s="29" t="s">
        <v>214</v>
      </c>
      <c r="E132" s="16"/>
      <c r="F132" s="16"/>
    </row>
    <row r="133">
      <c r="A133" s="17"/>
      <c r="B133" s="44" t="s">
        <v>215</v>
      </c>
      <c r="C133" s="29"/>
      <c r="D133" s="29"/>
      <c r="E133" s="16"/>
      <c r="F133" s="16"/>
    </row>
    <row r="134">
      <c r="A134" s="17"/>
      <c r="B134" s="22" t="s">
        <v>216</v>
      </c>
      <c r="C134" s="29"/>
      <c r="D134" s="29" t="s">
        <v>217</v>
      </c>
      <c r="E134" s="16"/>
      <c r="F134" s="16"/>
    </row>
    <row r="135">
      <c r="A135" s="17"/>
      <c r="B135" s="31"/>
      <c r="C135" s="31"/>
      <c r="D135" s="29" t="s">
        <v>218</v>
      </c>
      <c r="E135" s="16"/>
      <c r="F135" s="16"/>
    </row>
    <row r="136">
      <c r="A136" s="17"/>
      <c r="B136" s="31"/>
      <c r="C136" s="31"/>
      <c r="D136" s="29" t="s">
        <v>106</v>
      </c>
      <c r="E136" s="16"/>
      <c r="F136" s="16"/>
    </row>
    <row r="137">
      <c r="A137" s="17"/>
      <c r="B137" s="31"/>
      <c r="C137" s="31"/>
      <c r="D137" s="29" t="s">
        <v>219</v>
      </c>
      <c r="E137" s="16"/>
      <c r="F137" s="16"/>
    </row>
    <row r="138">
      <c r="A138" s="17"/>
      <c r="B138" s="31"/>
      <c r="C138" s="31"/>
      <c r="D138" s="29" t="s">
        <v>220</v>
      </c>
      <c r="E138" s="16"/>
      <c r="F138" s="16"/>
    </row>
    <row r="139">
      <c r="A139" s="17"/>
      <c r="B139" s="31"/>
      <c r="C139" s="31"/>
      <c r="D139" s="29" t="s">
        <v>221</v>
      </c>
      <c r="E139" s="16"/>
      <c r="F139" s="16"/>
    </row>
    <row r="140" ht="30.75" customHeight="1">
      <c r="A140" s="17"/>
      <c r="B140" s="31"/>
      <c r="C140" s="31"/>
      <c r="D140" s="29" t="s">
        <v>222</v>
      </c>
      <c r="E140" s="16"/>
      <c r="F140" s="16"/>
    </row>
    <row r="141" ht="30.75" customHeight="1">
      <c r="A141" s="17"/>
      <c r="B141" s="31"/>
      <c r="C141" s="31"/>
      <c r="D141" s="29" t="s">
        <v>223</v>
      </c>
      <c r="E141" s="16"/>
      <c r="F141" s="16"/>
    </row>
    <row r="142">
      <c r="A142" s="17"/>
      <c r="B142" s="31"/>
      <c r="C142" s="31"/>
      <c r="D142" s="29" t="s">
        <v>224</v>
      </c>
      <c r="E142" s="16"/>
      <c r="F142" s="16"/>
    </row>
    <row r="143" ht="30.75" customHeight="1">
      <c r="A143" s="17"/>
      <c r="B143" s="31"/>
      <c r="C143" s="31"/>
      <c r="D143" s="29" t="s">
        <v>225</v>
      </c>
      <c r="E143" s="16"/>
      <c r="F143" s="16"/>
    </row>
    <row r="144">
      <c r="A144" s="23"/>
      <c r="B144" s="25" t="s">
        <v>108</v>
      </c>
      <c r="C144" s="59" t="s">
        <v>109</v>
      </c>
      <c r="D144" s="59" t="s">
        <v>226</v>
      </c>
      <c r="E144" s="26"/>
      <c r="F144" s="26"/>
    </row>
  </sheetData>
  <mergeCells count="53">
    <mergeCell ref="B14:B21"/>
    <mergeCell ref="C14:C21"/>
    <mergeCell ref="B24:B30"/>
    <mergeCell ref="C24:C30"/>
    <mergeCell ref="B32:B34"/>
    <mergeCell ref="C32:C34"/>
    <mergeCell ref="B35:B41"/>
    <mergeCell ref="C35:C41"/>
    <mergeCell ref="A6:F6"/>
    <mergeCell ref="A7:A13"/>
    <mergeCell ref="B9:B10"/>
    <mergeCell ref="C9:C10"/>
    <mergeCell ref="B11:B13"/>
    <mergeCell ref="C11:C13"/>
    <mergeCell ref="A14:A51"/>
    <mergeCell ref="B62:B65"/>
    <mergeCell ref="C62:C65"/>
    <mergeCell ref="B56:B58"/>
    <mergeCell ref="B66:B74"/>
    <mergeCell ref="C66:C74"/>
    <mergeCell ref="B75:B78"/>
    <mergeCell ref="C75:C78"/>
    <mergeCell ref="B42:B51"/>
    <mergeCell ref="C42:C51"/>
    <mergeCell ref="A52:A65"/>
    <mergeCell ref="B52:B55"/>
    <mergeCell ref="C52:C55"/>
    <mergeCell ref="C56:C58"/>
    <mergeCell ref="A66:A104"/>
    <mergeCell ref="B125:B131"/>
    <mergeCell ref="B134:B143"/>
    <mergeCell ref="A105:A124"/>
    <mergeCell ref="B105:B112"/>
    <mergeCell ref="C105:C112"/>
    <mergeCell ref="B114:B116"/>
    <mergeCell ref="C114:C116"/>
    <mergeCell ref="A125:A144"/>
    <mergeCell ref="C125:C131"/>
    <mergeCell ref="C134:C143"/>
    <mergeCell ref="B80:B82"/>
    <mergeCell ref="C80:C82"/>
    <mergeCell ref="B83:B84"/>
    <mergeCell ref="C83:C84"/>
    <mergeCell ref="B85:B87"/>
    <mergeCell ref="C85:C87"/>
    <mergeCell ref="B88:B91"/>
    <mergeCell ref="C88:C91"/>
    <mergeCell ref="B92:B94"/>
    <mergeCell ref="C92:C94"/>
    <mergeCell ref="B95:B97"/>
    <mergeCell ref="C95:C97"/>
    <mergeCell ref="B99:B101"/>
    <mergeCell ref="C99:C101"/>
  </mergeCells>
  <dataValidations>
    <dataValidation type="list" allowBlank="1" sqref="E7:E144">
      <formula1>"PENDING,PASSED,FAILED"</formula1>
    </dataValidation>
  </dataValidations>
  <hyperlinks>
    <hyperlink r:id="rId1" ref="D87"/>
    <hyperlink r:id="rId2" ref="D91"/>
    <hyperlink r:id="rId3" ref="D9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23.38"/>
    <col customWidth="1" min="2" max="2" width="45.63"/>
    <col customWidth="1" min="3" max="3" width="49.75"/>
    <col customWidth="1" min="4" max="4" width="30.13"/>
    <col customWidth="1" min="5" max="5" width="22.63" outlineLevel="1"/>
    <col customWidth="1" min="6" max="6" width="21.88" outlineLevel="1"/>
  </cols>
  <sheetData>
    <row r="1">
      <c r="A1" s="3"/>
      <c r="B1" s="3"/>
      <c r="C1" s="3"/>
      <c r="D1" s="3" t="s">
        <v>0</v>
      </c>
      <c r="E1" s="3"/>
      <c r="F1" s="3"/>
    </row>
    <row r="2">
      <c r="A2" s="3"/>
      <c r="B2" s="3"/>
      <c r="C2" s="3"/>
      <c r="D2" s="3" t="s">
        <v>1</v>
      </c>
      <c r="E2" s="3">
        <f>COUNTIF(#REF!,"PASSED")</f>
        <v>0</v>
      </c>
      <c r="F2" s="3"/>
    </row>
    <row r="3">
      <c r="A3" s="3"/>
      <c r="B3" s="3"/>
      <c r="C3" s="3"/>
      <c r="D3" s="3" t="s">
        <v>2</v>
      </c>
      <c r="E3" s="3">
        <f>COUNTIF(#REF!,"PASSED") + COUNTIF(#REF!,"FAILED") + COUNTIF(#REF!,"PENDING")</f>
        <v>0</v>
      </c>
      <c r="F3" s="3"/>
    </row>
    <row r="4">
      <c r="A4" s="3"/>
      <c r="B4" s="3"/>
      <c r="C4" s="3"/>
      <c r="D4" s="3" t="s">
        <v>3</v>
      </c>
      <c r="E4" s="4" t="str">
        <f>(E2/E3)</f>
        <v>#DIV/0!</v>
      </c>
      <c r="F4" s="4"/>
    </row>
    <row r="5">
      <c r="A5" s="40" t="s">
        <v>4</v>
      </c>
      <c r="B5" s="16" t="s">
        <v>5</v>
      </c>
      <c r="C5" s="16" t="s">
        <v>6</v>
      </c>
      <c r="D5" s="16" t="s">
        <v>7</v>
      </c>
      <c r="E5" s="8"/>
      <c r="F5" s="9" t="s">
        <v>8</v>
      </c>
    </row>
    <row r="6">
      <c r="A6" s="12" t="s">
        <v>227</v>
      </c>
      <c r="B6" s="11"/>
      <c r="C6" s="11"/>
      <c r="D6" s="11"/>
      <c r="E6" s="11"/>
      <c r="F6" s="11"/>
    </row>
    <row r="7">
      <c r="A7" s="53" t="s">
        <v>228</v>
      </c>
      <c r="B7" s="15" t="s">
        <v>229</v>
      </c>
      <c r="C7" s="62"/>
      <c r="D7" s="62" t="s">
        <v>230</v>
      </c>
      <c r="E7" s="53"/>
      <c r="F7" s="53"/>
    </row>
    <row r="8">
      <c r="A8" s="17"/>
      <c r="B8" s="17"/>
      <c r="C8" s="17"/>
      <c r="D8" s="63" t="s">
        <v>231</v>
      </c>
      <c r="E8" s="16"/>
      <c r="F8" s="16"/>
    </row>
    <row r="9">
      <c r="A9" s="17"/>
      <c r="B9" s="17"/>
      <c r="C9" s="17"/>
      <c r="D9" s="63" t="s">
        <v>232</v>
      </c>
      <c r="E9" s="16"/>
      <c r="F9" s="16"/>
    </row>
    <row r="10" ht="39.0" customHeight="1">
      <c r="A10" s="17"/>
      <c r="B10" s="17"/>
      <c r="C10" s="17"/>
      <c r="D10" s="63" t="s">
        <v>233</v>
      </c>
      <c r="E10" s="16"/>
      <c r="F10" s="16"/>
    </row>
    <row r="11">
      <c r="A11" s="17"/>
      <c r="B11" s="20" t="s">
        <v>234</v>
      </c>
      <c r="C11" s="63"/>
      <c r="D11" s="63" t="s">
        <v>230</v>
      </c>
      <c r="E11" s="16"/>
      <c r="F11" s="16"/>
    </row>
    <row r="12">
      <c r="A12" s="17"/>
      <c r="B12" s="17"/>
      <c r="C12" s="17"/>
      <c r="D12" s="63" t="s">
        <v>231</v>
      </c>
      <c r="E12" s="16"/>
      <c r="F12" s="16"/>
    </row>
    <row r="13">
      <c r="A13" s="17"/>
      <c r="B13" s="17"/>
      <c r="C13" s="17"/>
      <c r="D13" s="63" t="s">
        <v>233</v>
      </c>
      <c r="E13" s="16"/>
      <c r="F13" s="16"/>
    </row>
    <row r="14">
      <c r="A14" s="17"/>
      <c r="B14" s="17"/>
      <c r="C14" s="17"/>
      <c r="D14" s="63" t="s">
        <v>235</v>
      </c>
      <c r="E14" s="16"/>
      <c r="F14" s="16"/>
    </row>
    <row r="15">
      <c r="A15" s="17"/>
      <c r="B15" s="17"/>
      <c r="C15" s="17"/>
      <c r="D15" s="63" t="s">
        <v>233</v>
      </c>
      <c r="E15" s="16"/>
      <c r="F15" s="16"/>
    </row>
    <row r="16">
      <c r="A16" s="53" t="s">
        <v>236</v>
      </c>
      <c r="B16" s="15" t="s">
        <v>237</v>
      </c>
      <c r="C16" s="62"/>
      <c r="D16" s="62"/>
      <c r="E16" s="53"/>
      <c r="F16" s="53"/>
    </row>
    <row r="17">
      <c r="A17" s="26"/>
      <c r="B17" s="35" t="s">
        <v>238</v>
      </c>
      <c r="C17" s="64"/>
      <c r="D17" s="64"/>
      <c r="E17" s="26"/>
      <c r="F17" s="26"/>
    </row>
    <row r="18">
      <c r="A18" s="53" t="s">
        <v>239</v>
      </c>
      <c r="B18" s="15" t="s">
        <v>240</v>
      </c>
      <c r="C18" s="62"/>
      <c r="D18" s="62"/>
      <c r="E18" s="53"/>
      <c r="F18" s="53"/>
    </row>
    <row r="19">
      <c r="A19" s="16"/>
      <c r="B19" s="20" t="s">
        <v>241</v>
      </c>
      <c r="C19" s="63"/>
      <c r="D19" s="63" t="s">
        <v>242</v>
      </c>
      <c r="E19" s="16"/>
      <c r="F19" s="16"/>
    </row>
    <row r="20">
      <c r="A20" s="16"/>
      <c r="B20" s="45" t="s">
        <v>78</v>
      </c>
      <c r="C20" s="63"/>
      <c r="D20" s="63" t="s">
        <v>243</v>
      </c>
      <c r="E20" s="16"/>
      <c r="F20" s="16"/>
    </row>
    <row r="21">
      <c r="A21" s="16"/>
      <c r="B21" s="45" t="s">
        <v>82</v>
      </c>
      <c r="C21" s="63"/>
      <c r="D21" s="63" t="s">
        <v>244</v>
      </c>
      <c r="E21" s="16"/>
      <c r="F21" s="16"/>
    </row>
    <row r="22">
      <c r="A22" s="16"/>
      <c r="B22" s="45" t="s">
        <v>88</v>
      </c>
      <c r="C22" s="63"/>
      <c r="D22" s="63" t="s">
        <v>245</v>
      </c>
      <c r="E22" s="16"/>
      <c r="F22" s="16"/>
    </row>
    <row r="23">
      <c r="A23" s="16"/>
      <c r="B23" s="45" t="s">
        <v>91</v>
      </c>
      <c r="C23" s="63"/>
      <c r="D23" s="63" t="s">
        <v>245</v>
      </c>
      <c r="E23" s="16"/>
      <c r="F23" s="16"/>
    </row>
    <row r="24">
      <c r="A24" s="16"/>
      <c r="B24" s="45" t="s">
        <v>93</v>
      </c>
      <c r="C24" s="63"/>
      <c r="D24" s="63" t="s">
        <v>245</v>
      </c>
      <c r="E24" s="16"/>
      <c r="F24" s="16"/>
    </row>
    <row r="25">
      <c r="A25" s="16"/>
      <c r="B25" s="45" t="s">
        <v>95</v>
      </c>
      <c r="C25" s="63"/>
      <c r="D25" s="63"/>
      <c r="E25" s="16"/>
      <c r="F25" s="16"/>
    </row>
    <row r="26">
      <c r="A26" s="26"/>
      <c r="B26" s="65" t="s">
        <v>97</v>
      </c>
      <c r="C26" s="64"/>
      <c r="D26" s="64" t="s">
        <v>246</v>
      </c>
      <c r="E26" s="26"/>
      <c r="F26" s="26"/>
    </row>
    <row r="27">
      <c r="A27" s="53" t="s">
        <v>247</v>
      </c>
      <c r="B27" s="66" t="s">
        <v>248</v>
      </c>
      <c r="C27" s="67"/>
      <c r="D27" s="67" t="s">
        <v>249</v>
      </c>
      <c r="E27" s="68"/>
      <c r="F27" s="68"/>
    </row>
    <row r="28">
      <c r="A28" s="26"/>
      <c r="B28" s="35" t="s">
        <v>250</v>
      </c>
      <c r="C28" s="69"/>
      <c r="D28" s="69"/>
      <c r="E28" s="70"/>
      <c r="F28" s="70"/>
    </row>
    <row r="29">
      <c r="A29" s="53" t="s">
        <v>102</v>
      </c>
      <c r="B29" s="61" t="s">
        <v>251</v>
      </c>
      <c r="C29" s="62"/>
      <c r="D29" s="62" t="s">
        <v>252</v>
      </c>
      <c r="E29" s="53"/>
      <c r="F29" s="53"/>
    </row>
    <row r="30">
      <c r="A30" s="16"/>
      <c r="B30" s="31"/>
      <c r="C30" s="17"/>
      <c r="D30" s="63" t="s">
        <v>106</v>
      </c>
      <c r="E30" s="16"/>
      <c r="F30" s="16"/>
    </row>
    <row r="31">
      <c r="A31" s="16"/>
      <c r="B31" s="31"/>
      <c r="C31" s="17"/>
      <c r="D31" s="63" t="s">
        <v>253</v>
      </c>
      <c r="E31" s="16"/>
      <c r="F31" s="16"/>
    </row>
    <row r="32">
      <c r="A32" s="16"/>
      <c r="B32" s="44" t="s">
        <v>254</v>
      </c>
      <c r="C32" s="63"/>
      <c r="D32" s="63" t="s">
        <v>252</v>
      </c>
      <c r="E32" s="16"/>
      <c r="F32" s="16"/>
    </row>
    <row r="33">
      <c r="A33" s="16"/>
      <c r="B33" s="31"/>
      <c r="C33" s="17"/>
      <c r="D33" s="63" t="s">
        <v>106</v>
      </c>
      <c r="E33" s="16"/>
      <c r="F33" s="16"/>
    </row>
    <row r="34">
      <c r="A34" s="16"/>
      <c r="B34" s="31"/>
      <c r="C34" s="17"/>
      <c r="D34" s="63" t="s">
        <v>253</v>
      </c>
      <c r="E34" s="16"/>
      <c r="F34" s="16"/>
    </row>
    <row r="35">
      <c r="A35" s="26"/>
      <c r="B35" s="25" t="s">
        <v>108</v>
      </c>
      <c r="C35" s="64" t="s">
        <v>109</v>
      </c>
      <c r="D35" s="64" t="s">
        <v>255</v>
      </c>
      <c r="E35" s="26"/>
      <c r="F35" s="26"/>
    </row>
  </sheetData>
  <mergeCells count="10">
    <mergeCell ref="B29:B31"/>
    <mergeCell ref="B32:B34"/>
    <mergeCell ref="C32:C34"/>
    <mergeCell ref="A6:F6"/>
    <mergeCell ref="A7:A15"/>
    <mergeCell ref="B7:B10"/>
    <mergeCell ref="C7:C10"/>
    <mergeCell ref="B11:B15"/>
    <mergeCell ref="C11:C15"/>
    <mergeCell ref="C29:C31"/>
  </mergeCells>
  <dataValidations>
    <dataValidation type="list" allowBlank="1" sqref="E7:E35">
      <formula1>"PENDING,PASSED,FAILED"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2" width="26.38"/>
    <col customWidth="1" min="3" max="3" width="26.75"/>
    <col customWidth="1" min="4" max="4" width="37.75"/>
    <col min="5" max="13" width="12.63" outlineLevel="1"/>
  </cols>
  <sheetData>
    <row r="1">
      <c r="A1" s="71" t="s">
        <v>4</v>
      </c>
      <c r="B1" s="72" t="s">
        <v>256</v>
      </c>
      <c r="C1" s="72" t="s">
        <v>257</v>
      </c>
      <c r="D1" s="72" t="s">
        <v>258</v>
      </c>
      <c r="E1" s="73" t="s">
        <v>259</v>
      </c>
      <c r="F1" s="73" t="s">
        <v>260</v>
      </c>
      <c r="G1" s="73" t="s">
        <v>261</v>
      </c>
      <c r="H1" s="73" t="s">
        <v>262</v>
      </c>
      <c r="I1" s="73" t="s">
        <v>263</v>
      </c>
      <c r="J1" s="73" t="s">
        <v>264</v>
      </c>
      <c r="K1" s="73" t="s">
        <v>265</v>
      </c>
      <c r="L1" s="73" t="s">
        <v>266</v>
      </c>
      <c r="M1" s="73" t="s">
        <v>267</v>
      </c>
      <c r="N1" s="73" t="s">
        <v>268</v>
      </c>
      <c r="O1" s="74"/>
    </row>
    <row r="2">
      <c r="A2" s="71" t="s">
        <v>269</v>
      </c>
      <c r="B2" s="75" t="s">
        <v>270</v>
      </c>
      <c r="C2" s="75" t="s">
        <v>271</v>
      </c>
      <c r="D2" s="75" t="s">
        <v>272</v>
      </c>
      <c r="E2" s="76" t="s">
        <v>273</v>
      </c>
      <c r="F2" s="76" t="s">
        <v>273</v>
      </c>
      <c r="G2" s="76" t="s">
        <v>273</v>
      </c>
      <c r="H2" s="76" t="s">
        <v>274</v>
      </c>
      <c r="I2" s="76" t="s">
        <v>274</v>
      </c>
      <c r="J2" s="76" t="s">
        <v>274</v>
      </c>
      <c r="K2" s="76" t="s">
        <v>273</v>
      </c>
      <c r="L2" s="76" t="s">
        <v>275</v>
      </c>
      <c r="M2" s="76"/>
      <c r="N2" s="76"/>
      <c r="O2" s="74"/>
    </row>
    <row r="3">
      <c r="D3" s="75" t="s">
        <v>276</v>
      </c>
      <c r="E3" s="76" t="s">
        <v>273</v>
      </c>
      <c r="F3" s="76" t="s">
        <v>274</v>
      </c>
      <c r="G3" s="76" t="s">
        <v>274</v>
      </c>
      <c r="H3" s="76" t="s">
        <v>274</v>
      </c>
      <c r="I3" s="76" t="s">
        <v>274</v>
      </c>
      <c r="J3" s="76" t="s">
        <v>274</v>
      </c>
      <c r="K3" s="76" t="s">
        <v>273</v>
      </c>
      <c r="L3" s="76" t="s">
        <v>275</v>
      </c>
      <c r="M3" s="76"/>
      <c r="N3" s="76"/>
      <c r="O3" s="74"/>
    </row>
    <row r="4">
      <c r="D4" s="75" t="s">
        <v>277</v>
      </c>
      <c r="E4" s="76" t="s">
        <v>273</v>
      </c>
      <c r="F4" s="76" t="s">
        <v>274</v>
      </c>
      <c r="G4" s="76" t="s">
        <v>274</v>
      </c>
      <c r="H4" s="76" t="s">
        <v>274</v>
      </c>
      <c r="I4" s="76" t="s">
        <v>274</v>
      </c>
      <c r="J4" s="76" t="s">
        <v>274</v>
      </c>
      <c r="K4" s="76" t="s">
        <v>273</v>
      </c>
      <c r="L4" s="76" t="s">
        <v>275</v>
      </c>
      <c r="M4" s="76"/>
      <c r="N4" s="76"/>
      <c r="O4" s="74"/>
    </row>
    <row r="5">
      <c r="D5" s="75" t="s">
        <v>278</v>
      </c>
      <c r="E5" s="76" t="s">
        <v>273</v>
      </c>
      <c r="F5" s="76" t="s">
        <v>274</v>
      </c>
      <c r="G5" s="76" t="s">
        <v>274</v>
      </c>
      <c r="H5" s="76" t="s">
        <v>274</v>
      </c>
      <c r="I5" s="76" t="s">
        <v>274</v>
      </c>
      <c r="J5" s="76" t="s">
        <v>274</v>
      </c>
      <c r="K5" s="76" t="s">
        <v>273</v>
      </c>
      <c r="L5" s="76" t="s">
        <v>275</v>
      </c>
      <c r="M5" s="76"/>
      <c r="N5" s="76"/>
      <c r="O5" s="74"/>
    </row>
    <row r="6">
      <c r="A6" s="71" t="s">
        <v>279</v>
      </c>
      <c r="B6" s="75" t="s">
        <v>280</v>
      </c>
      <c r="C6" s="75" t="s">
        <v>281</v>
      </c>
      <c r="D6" s="75" t="s">
        <v>282</v>
      </c>
      <c r="E6" s="76" t="s">
        <v>273</v>
      </c>
      <c r="F6" s="76" t="s">
        <v>273</v>
      </c>
      <c r="G6" s="76" t="s">
        <v>273</v>
      </c>
      <c r="H6" s="76" t="s">
        <v>273</v>
      </c>
      <c r="I6" s="76" t="s">
        <v>274</v>
      </c>
      <c r="J6" s="76" t="s">
        <v>274</v>
      </c>
      <c r="K6" s="76" t="s">
        <v>273</v>
      </c>
      <c r="L6" s="76" t="s">
        <v>275</v>
      </c>
      <c r="M6" s="76"/>
      <c r="N6" s="76"/>
      <c r="O6" s="74"/>
    </row>
    <row r="7">
      <c r="C7" s="75" t="s">
        <v>283</v>
      </c>
      <c r="D7" s="75" t="s">
        <v>284</v>
      </c>
      <c r="E7" s="76" t="s">
        <v>273</v>
      </c>
      <c r="F7" s="76" t="s">
        <v>273</v>
      </c>
      <c r="G7" s="76" t="s">
        <v>273</v>
      </c>
      <c r="H7" s="76" t="s">
        <v>273</v>
      </c>
      <c r="I7" s="76" t="s">
        <v>273</v>
      </c>
      <c r="J7" s="76" t="s">
        <v>273</v>
      </c>
      <c r="K7" s="76" t="s">
        <v>273</v>
      </c>
      <c r="L7" s="76" t="s">
        <v>275</v>
      </c>
      <c r="M7" s="76"/>
      <c r="N7" s="76"/>
      <c r="O7" s="74"/>
    </row>
    <row r="8">
      <c r="A8" s="71" t="s">
        <v>285</v>
      </c>
      <c r="B8" s="75" t="s">
        <v>286</v>
      </c>
      <c r="C8" s="75" t="s">
        <v>287</v>
      </c>
      <c r="D8" s="75" t="s">
        <v>288</v>
      </c>
      <c r="E8" s="76" t="s">
        <v>275</v>
      </c>
      <c r="F8" s="76" t="s">
        <v>274</v>
      </c>
      <c r="G8" s="76" t="s">
        <v>274</v>
      </c>
      <c r="H8" s="76" t="s">
        <v>274</v>
      </c>
      <c r="I8" s="76" t="s">
        <v>274</v>
      </c>
      <c r="J8" s="76" t="s">
        <v>273</v>
      </c>
      <c r="K8" s="76" t="s">
        <v>273</v>
      </c>
      <c r="L8" s="76" t="s">
        <v>275</v>
      </c>
      <c r="M8" s="76"/>
      <c r="N8" s="76"/>
      <c r="O8" s="74"/>
    </row>
    <row r="9">
      <c r="D9" s="75" t="s">
        <v>289</v>
      </c>
      <c r="E9" s="76" t="s">
        <v>274</v>
      </c>
      <c r="F9" s="76" t="s">
        <v>274</v>
      </c>
      <c r="G9" s="76" t="s">
        <v>274</v>
      </c>
      <c r="H9" s="76" t="s">
        <v>274</v>
      </c>
      <c r="I9" s="76" t="s">
        <v>274</v>
      </c>
      <c r="J9" s="76" t="s">
        <v>273</v>
      </c>
      <c r="K9" s="76" t="s">
        <v>273</v>
      </c>
      <c r="L9" s="76" t="s">
        <v>275</v>
      </c>
      <c r="M9" s="76"/>
      <c r="N9" s="76"/>
      <c r="O9" s="74"/>
    </row>
    <row r="10">
      <c r="C10" s="75" t="s">
        <v>290</v>
      </c>
      <c r="D10" s="75" t="s">
        <v>291</v>
      </c>
      <c r="E10" s="76" t="s">
        <v>274</v>
      </c>
      <c r="F10" s="76" t="s">
        <v>274</v>
      </c>
      <c r="G10" s="76" t="s">
        <v>274</v>
      </c>
      <c r="H10" s="76" t="s">
        <v>274</v>
      </c>
      <c r="I10" s="76" t="s">
        <v>274</v>
      </c>
      <c r="J10" s="76" t="s">
        <v>273</v>
      </c>
      <c r="K10" s="76" t="s">
        <v>273</v>
      </c>
      <c r="L10" s="76" t="s">
        <v>275</v>
      </c>
      <c r="M10" s="76"/>
      <c r="N10" s="76"/>
      <c r="O10" s="74"/>
    </row>
    <row r="11">
      <c r="D11" s="75" t="s">
        <v>292</v>
      </c>
      <c r="E11" s="76" t="s">
        <v>274</v>
      </c>
      <c r="F11" s="76" t="s">
        <v>274</v>
      </c>
      <c r="G11" s="76" t="s">
        <v>274</v>
      </c>
      <c r="H11" s="76" t="s">
        <v>274</v>
      </c>
      <c r="I11" s="76" t="s">
        <v>274</v>
      </c>
      <c r="J11" s="76" t="s">
        <v>273</v>
      </c>
      <c r="K11" s="76" t="s">
        <v>273</v>
      </c>
      <c r="L11" s="76" t="s">
        <v>275</v>
      </c>
      <c r="M11" s="76"/>
      <c r="N11" s="76"/>
      <c r="O11" s="74"/>
    </row>
    <row r="12">
      <c r="C12" s="75" t="s">
        <v>293</v>
      </c>
      <c r="D12" s="75" t="s">
        <v>291</v>
      </c>
      <c r="E12" s="76" t="s">
        <v>273</v>
      </c>
      <c r="F12" s="76" t="s">
        <v>274</v>
      </c>
      <c r="G12" s="76" t="s">
        <v>274</v>
      </c>
      <c r="H12" s="76" t="s">
        <v>274</v>
      </c>
      <c r="I12" s="76" t="s">
        <v>274</v>
      </c>
      <c r="J12" s="76" t="s">
        <v>273</v>
      </c>
      <c r="K12" s="76" t="s">
        <v>273</v>
      </c>
      <c r="L12" s="76" t="s">
        <v>275</v>
      </c>
      <c r="M12" s="76"/>
      <c r="N12" s="76"/>
      <c r="O12" s="74"/>
    </row>
    <row r="13">
      <c r="D13" s="75" t="s">
        <v>294</v>
      </c>
      <c r="E13" s="76" t="s">
        <v>274</v>
      </c>
      <c r="F13" s="76" t="s">
        <v>274</v>
      </c>
      <c r="G13" s="76" t="s">
        <v>274</v>
      </c>
      <c r="H13" s="76" t="s">
        <v>274</v>
      </c>
      <c r="I13" s="76" t="s">
        <v>274</v>
      </c>
      <c r="J13" s="76" t="s">
        <v>273</v>
      </c>
      <c r="K13" s="76" t="s">
        <v>273</v>
      </c>
      <c r="L13" s="76" t="s">
        <v>275</v>
      </c>
      <c r="M13" s="76"/>
      <c r="N13" s="76"/>
      <c r="O13" s="74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4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4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4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4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4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4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4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4"/>
    </row>
    <row r="22">
      <c r="A22" s="77"/>
      <c r="B22" s="77"/>
      <c r="C22" s="77"/>
      <c r="D22" s="77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>
      <c r="A23" s="77"/>
      <c r="B23" s="77"/>
      <c r="C23" s="77"/>
      <c r="D23" s="77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</row>
    <row r="24">
      <c r="A24" s="77"/>
      <c r="B24" s="77"/>
      <c r="C24" s="77"/>
      <c r="D24" s="77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</row>
  </sheetData>
  <mergeCells count="10">
    <mergeCell ref="C8:C9"/>
    <mergeCell ref="C10:C11"/>
    <mergeCell ref="A2:A5"/>
    <mergeCell ref="B2:B5"/>
    <mergeCell ref="C2:C5"/>
    <mergeCell ref="A6:A7"/>
    <mergeCell ref="B6:B7"/>
    <mergeCell ref="A8:A13"/>
    <mergeCell ref="B8:B13"/>
    <mergeCell ref="C12:C13"/>
  </mergeCells>
  <dataValidations>
    <dataValidation type="list" allowBlank="1" sqref="E2:N13">
      <formula1>"PENDING,OK,FAILED"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9.5"/>
    <col customWidth="1" min="2" max="2" width="29.63"/>
    <col customWidth="1" min="3" max="3" width="40.0"/>
    <col customWidth="1" min="4" max="4" width="43.25"/>
    <col customWidth="1" min="5" max="39" width="14.0"/>
  </cols>
  <sheetData>
    <row r="1">
      <c r="A1" s="72" t="s">
        <v>4</v>
      </c>
      <c r="B1" s="72" t="s">
        <v>256</v>
      </c>
      <c r="C1" s="72" t="s">
        <v>257</v>
      </c>
      <c r="D1" s="72" t="s">
        <v>258</v>
      </c>
      <c r="E1" s="73" t="s">
        <v>259</v>
      </c>
      <c r="F1" s="73" t="s">
        <v>260</v>
      </c>
      <c r="G1" s="73" t="s">
        <v>261</v>
      </c>
      <c r="H1" s="73" t="s">
        <v>262</v>
      </c>
      <c r="I1" s="73" t="s">
        <v>264</v>
      </c>
      <c r="J1" s="73" t="s">
        <v>265</v>
      </c>
      <c r="K1" s="73" t="s">
        <v>266</v>
      </c>
      <c r="L1" s="73" t="s">
        <v>267</v>
      </c>
      <c r="M1" s="73" t="s">
        <v>295</v>
      </c>
      <c r="N1" s="78" t="s">
        <v>296</v>
      </c>
      <c r="O1" s="78" t="s">
        <v>297</v>
      </c>
      <c r="P1" s="78" t="s">
        <v>298</v>
      </c>
      <c r="Q1" s="78" t="s">
        <v>299</v>
      </c>
      <c r="R1" s="78" t="s">
        <v>300</v>
      </c>
      <c r="S1" s="78" t="s">
        <v>301</v>
      </c>
      <c r="T1" s="78" t="s">
        <v>302</v>
      </c>
      <c r="U1" s="78" t="s">
        <v>303</v>
      </c>
      <c r="V1" s="78" t="s">
        <v>304</v>
      </c>
      <c r="W1" s="78" t="s">
        <v>305</v>
      </c>
      <c r="X1" s="78" t="s">
        <v>306</v>
      </c>
      <c r="Y1" s="78" t="s">
        <v>307</v>
      </c>
      <c r="Z1" s="78" t="s">
        <v>308</v>
      </c>
      <c r="AA1" s="78" t="s">
        <v>309</v>
      </c>
      <c r="AB1" s="78" t="s">
        <v>310</v>
      </c>
      <c r="AC1" s="78" t="s">
        <v>311</v>
      </c>
      <c r="AD1" s="78" t="s">
        <v>312</v>
      </c>
      <c r="AE1" s="78" t="s">
        <v>313</v>
      </c>
      <c r="AF1" s="78" t="s">
        <v>314</v>
      </c>
      <c r="AG1" s="78" t="s">
        <v>315</v>
      </c>
      <c r="AH1" s="78" t="s">
        <v>316</v>
      </c>
      <c r="AI1" s="78" t="s">
        <v>317</v>
      </c>
      <c r="AJ1" s="78" t="s">
        <v>318</v>
      </c>
      <c r="AK1" s="78" t="s">
        <v>319</v>
      </c>
      <c r="AL1" s="79" t="s">
        <v>320</v>
      </c>
      <c r="AM1" s="79" t="s">
        <v>320</v>
      </c>
    </row>
    <row r="2">
      <c r="A2" s="71" t="s">
        <v>321</v>
      </c>
      <c r="B2" s="75" t="s">
        <v>322</v>
      </c>
      <c r="C2" s="75" t="s">
        <v>323</v>
      </c>
      <c r="D2" s="75" t="s">
        <v>324</v>
      </c>
      <c r="E2" s="76" t="s">
        <v>274</v>
      </c>
      <c r="F2" s="76" t="s">
        <v>274</v>
      </c>
      <c r="G2" s="76" t="s">
        <v>274</v>
      </c>
      <c r="H2" s="76" t="s">
        <v>274</v>
      </c>
      <c r="I2" s="76" t="s">
        <v>274</v>
      </c>
      <c r="J2" s="76" t="s">
        <v>273</v>
      </c>
      <c r="K2" s="76" t="s">
        <v>275</v>
      </c>
      <c r="L2" s="76" t="s">
        <v>274</v>
      </c>
      <c r="M2" s="76" t="s">
        <v>274</v>
      </c>
      <c r="N2" s="76" t="s">
        <v>274</v>
      </c>
      <c r="O2" s="76" t="s">
        <v>274</v>
      </c>
      <c r="P2" s="76" t="s">
        <v>275</v>
      </c>
      <c r="Q2" s="76" t="s">
        <v>274</v>
      </c>
      <c r="R2" s="76" t="s">
        <v>275</v>
      </c>
      <c r="S2" s="76" t="s">
        <v>274</v>
      </c>
      <c r="T2" s="76" t="s">
        <v>274</v>
      </c>
      <c r="U2" s="76" t="s">
        <v>274</v>
      </c>
      <c r="V2" s="76" t="s">
        <v>274</v>
      </c>
      <c r="W2" s="76" t="s">
        <v>274</v>
      </c>
      <c r="X2" s="76" t="s">
        <v>274</v>
      </c>
      <c r="Y2" s="76" t="s">
        <v>274</v>
      </c>
      <c r="Z2" s="76" t="s">
        <v>274</v>
      </c>
      <c r="AA2" s="76" t="s">
        <v>274</v>
      </c>
      <c r="AB2" s="76" t="s">
        <v>274</v>
      </c>
      <c r="AC2" s="76"/>
      <c r="AD2" s="76" t="s">
        <v>274</v>
      </c>
      <c r="AE2" s="76" t="s">
        <v>274</v>
      </c>
      <c r="AF2" s="76" t="s">
        <v>274</v>
      </c>
      <c r="AG2" s="76" t="s">
        <v>274</v>
      </c>
      <c r="AH2" s="76" t="s">
        <v>274</v>
      </c>
      <c r="AI2" s="76" t="s">
        <v>274</v>
      </c>
      <c r="AJ2" s="76" t="s">
        <v>274</v>
      </c>
      <c r="AK2" s="76" t="s">
        <v>274</v>
      </c>
      <c r="AL2" s="80" t="s">
        <v>274</v>
      </c>
      <c r="AM2" s="80" t="s">
        <v>274</v>
      </c>
    </row>
    <row r="3">
      <c r="C3" s="75" t="s">
        <v>325</v>
      </c>
      <c r="D3" s="75" t="s">
        <v>326</v>
      </c>
      <c r="E3" s="76" t="s">
        <v>274</v>
      </c>
      <c r="F3" s="76" t="s">
        <v>274</v>
      </c>
      <c r="G3" s="76" t="s">
        <v>274</v>
      </c>
      <c r="H3" s="76" t="s">
        <v>274</v>
      </c>
      <c r="I3" s="76" t="s">
        <v>274</v>
      </c>
      <c r="J3" s="76" t="s">
        <v>273</v>
      </c>
      <c r="K3" s="76" t="s">
        <v>275</v>
      </c>
      <c r="L3" s="76" t="s">
        <v>274</v>
      </c>
      <c r="M3" s="76" t="s">
        <v>274</v>
      </c>
      <c r="N3" s="76" t="s">
        <v>274</v>
      </c>
      <c r="O3" s="76" t="s">
        <v>274</v>
      </c>
      <c r="P3" s="76" t="s">
        <v>275</v>
      </c>
      <c r="Q3" s="76" t="s">
        <v>274</v>
      </c>
      <c r="R3" s="76" t="s">
        <v>275</v>
      </c>
      <c r="S3" s="76" t="s">
        <v>274</v>
      </c>
      <c r="T3" s="76" t="s">
        <v>274</v>
      </c>
      <c r="U3" s="76" t="s">
        <v>274</v>
      </c>
      <c r="V3" s="76" t="s">
        <v>274</v>
      </c>
      <c r="W3" s="76" t="s">
        <v>274</v>
      </c>
      <c r="X3" s="76" t="s">
        <v>274</v>
      </c>
      <c r="Y3" s="76" t="s">
        <v>274</v>
      </c>
      <c r="Z3" s="76" t="s">
        <v>274</v>
      </c>
      <c r="AA3" s="76" t="s">
        <v>274</v>
      </c>
      <c r="AB3" s="76" t="s">
        <v>274</v>
      </c>
      <c r="AC3" s="76"/>
      <c r="AD3" s="76" t="s">
        <v>274</v>
      </c>
      <c r="AE3" s="76" t="s">
        <v>274</v>
      </c>
      <c r="AF3" s="76" t="s">
        <v>274</v>
      </c>
      <c r="AG3" s="76" t="s">
        <v>274</v>
      </c>
      <c r="AH3" s="76" t="s">
        <v>274</v>
      </c>
      <c r="AI3" s="76" t="s">
        <v>274</v>
      </c>
      <c r="AJ3" s="76" t="s">
        <v>274</v>
      </c>
      <c r="AK3" s="76" t="s">
        <v>274</v>
      </c>
      <c r="AL3" s="80" t="s">
        <v>274</v>
      </c>
      <c r="AM3" s="80" t="s">
        <v>274</v>
      </c>
    </row>
    <row r="4">
      <c r="C4" s="75" t="s">
        <v>327</v>
      </c>
      <c r="D4" s="75" t="s">
        <v>326</v>
      </c>
      <c r="E4" s="76" t="s">
        <v>274</v>
      </c>
      <c r="F4" s="76" t="s">
        <v>274</v>
      </c>
      <c r="G4" s="76" t="s">
        <v>274</v>
      </c>
      <c r="H4" s="76" t="s">
        <v>274</v>
      </c>
      <c r="I4" s="76" t="s">
        <v>274</v>
      </c>
      <c r="J4" s="76" t="s">
        <v>273</v>
      </c>
      <c r="K4" s="76" t="s">
        <v>275</v>
      </c>
      <c r="L4" s="76" t="s">
        <v>274</v>
      </c>
      <c r="M4" s="76" t="s">
        <v>274</v>
      </c>
      <c r="N4" s="76" t="s">
        <v>274</v>
      </c>
      <c r="O4" s="76" t="s">
        <v>274</v>
      </c>
      <c r="P4" s="76" t="s">
        <v>275</v>
      </c>
      <c r="Q4" s="76" t="s">
        <v>274</v>
      </c>
      <c r="R4" s="76" t="s">
        <v>275</v>
      </c>
      <c r="S4" s="76" t="s">
        <v>274</v>
      </c>
      <c r="T4" s="76" t="s">
        <v>274</v>
      </c>
      <c r="U4" s="76" t="s">
        <v>274</v>
      </c>
      <c r="V4" s="76" t="s">
        <v>274</v>
      </c>
      <c r="W4" s="76" t="s">
        <v>274</v>
      </c>
      <c r="X4" s="76" t="s">
        <v>274</v>
      </c>
      <c r="Y4" s="76" t="s">
        <v>274</v>
      </c>
      <c r="Z4" s="76" t="s">
        <v>274</v>
      </c>
      <c r="AA4" s="76" t="s">
        <v>274</v>
      </c>
      <c r="AB4" s="76" t="s">
        <v>274</v>
      </c>
      <c r="AC4" s="76"/>
      <c r="AD4" s="76" t="s">
        <v>274</v>
      </c>
      <c r="AE4" s="76" t="s">
        <v>274</v>
      </c>
      <c r="AF4" s="76" t="s">
        <v>274</v>
      </c>
      <c r="AG4" s="76" t="s">
        <v>274</v>
      </c>
      <c r="AH4" s="76" t="s">
        <v>274</v>
      </c>
      <c r="AI4" s="76" t="s">
        <v>274</v>
      </c>
      <c r="AJ4" s="76" t="s">
        <v>274</v>
      </c>
      <c r="AK4" s="76" t="s">
        <v>274</v>
      </c>
      <c r="AL4" s="80" t="s">
        <v>274</v>
      </c>
      <c r="AM4" s="80" t="s">
        <v>274</v>
      </c>
    </row>
    <row r="5">
      <c r="B5" s="75" t="s">
        <v>328</v>
      </c>
      <c r="C5" s="75" t="s">
        <v>329</v>
      </c>
      <c r="D5" s="75" t="s">
        <v>330</v>
      </c>
      <c r="E5" s="76" t="s">
        <v>274</v>
      </c>
      <c r="F5" s="76" t="s">
        <v>274</v>
      </c>
      <c r="G5" s="76" t="s">
        <v>274</v>
      </c>
      <c r="H5" s="76" t="s">
        <v>274</v>
      </c>
      <c r="I5" s="76" t="s">
        <v>274</v>
      </c>
      <c r="J5" s="76" t="s">
        <v>273</v>
      </c>
      <c r="K5" s="76" t="s">
        <v>275</v>
      </c>
      <c r="L5" s="76" t="s">
        <v>274</v>
      </c>
      <c r="M5" s="76" t="s">
        <v>274</v>
      </c>
      <c r="N5" s="76" t="s">
        <v>274</v>
      </c>
      <c r="O5" s="76" t="s">
        <v>274</v>
      </c>
      <c r="P5" s="76" t="s">
        <v>275</v>
      </c>
      <c r="Q5" s="76" t="s">
        <v>274</v>
      </c>
      <c r="R5" s="76" t="s">
        <v>275</v>
      </c>
      <c r="S5" s="76" t="s">
        <v>274</v>
      </c>
      <c r="T5" s="76" t="s">
        <v>274</v>
      </c>
      <c r="U5" s="76" t="s">
        <v>274</v>
      </c>
      <c r="V5" s="76" t="s">
        <v>274</v>
      </c>
      <c r="W5" s="76" t="s">
        <v>274</v>
      </c>
      <c r="X5" s="76" t="s">
        <v>274</v>
      </c>
      <c r="Y5" s="76" t="s">
        <v>274</v>
      </c>
      <c r="Z5" s="76" t="s">
        <v>274</v>
      </c>
      <c r="AA5" s="76" t="s">
        <v>274</v>
      </c>
      <c r="AB5" s="76" t="s">
        <v>274</v>
      </c>
      <c r="AC5" s="76"/>
      <c r="AD5" s="76" t="s">
        <v>274</v>
      </c>
      <c r="AE5" s="76" t="s">
        <v>274</v>
      </c>
      <c r="AF5" s="76" t="s">
        <v>274</v>
      </c>
      <c r="AG5" s="76" t="s">
        <v>274</v>
      </c>
      <c r="AH5" s="76" t="s">
        <v>274</v>
      </c>
      <c r="AI5" s="76" t="s">
        <v>274</v>
      </c>
      <c r="AJ5" s="76" t="s">
        <v>274</v>
      </c>
      <c r="AK5" s="76" t="s">
        <v>274</v>
      </c>
      <c r="AL5" s="80" t="s">
        <v>274</v>
      </c>
      <c r="AM5" s="80" t="s">
        <v>274</v>
      </c>
    </row>
    <row r="6">
      <c r="A6" s="71" t="s">
        <v>331</v>
      </c>
      <c r="B6" s="75" t="s">
        <v>332</v>
      </c>
      <c r="C6" s="75" t="s">
        <v>333</v>
      </c>
      <c r="D6" s="75" t="s">
        <v>334</v>
      </c>
      <c r="E6" s="76" t="s">
        <v>273</v>
      </c>
      <c r="F6" s="76" t="s">
        <v>274</v>
      </c>
      <c r="G6" s="76" t="s">
        <v>274</v>
      </c>
      <c r="H6" s="76" t="s">
        <v>274</v>
      </c>
      <c r="I6" s="76" t="s">
        <v>274</v>
      </c>
      <c r="J6" s="76" t="s">
        <v>273</v>
      </c>
      <c r="K6" s="76" t="s">
        <v>275</v>
      </c>
      <c r="L6" s="76" t="s">
        <v>274</v>
      </c>
      <c r="M6" s="76" t="s">
        <v>274</v>
      </c>
      <c r="N6" s="76" t="s">
        <v>274</v>
      </c>
      <c r="O6" s="76" t="s">
        <v>274</v>
      </c>
      <c r="P6" s="76" t="s">
        <v>275</v>
      </c>
      <c r="Q6" s="76" t="s">
        <v>274</v>
      </c>
      <c r="R6" s="76" t="s">
        <v>275</v>
      </c>
      <c r="S6" s="76" t="s">
        <v>274</v>
      </c>
      <c r="T6" s="76" t="s">
        <v>274</v>
      </c>
      <c r="U6" s="76" t="s">
        <v>274</v>
      </c>
      <c r="V6" s="76" t="s">
        <v>274</v>
      </c>
      <c r="W6" s="76" t="s">
        <v>274</v>
      </c>
      <c r="X6" s="76" t="s">
        <v>274</v>
      </c>
      <c r="Y6" s="76" t="s">
        <v>274</v>
      </c>
      <c r="Z6" s="76" t="s">
        <v>274</v>
      </c>
      <c r="AA6" s="76" t="s">
        <v>274</v>
      </c>
      <c r="AB6" s="76" t="s">
        <v>274</v>
      </c>
      <c r="AC6" s="76"/>
      <c r="AD6" s="76" t="s">
        <v>274</v>
      </c>
      <c r="AE6" s="76" t="s">
        <v>274</v>
      </c>
      <c r="AF6" s="76" t="s">
        <v>274</v>
      </c>
      <c r="AG6" s="76" t="s">
        <v>274</v>
      </c>
      <c r="AH6" s="76" t="s">
        <v>274</v>
      </c>
      <c r="AI6" s="76" t="s">
        <v>274</v>
      </c>
      <c r="AJ6" s="76" t="s">
        <v>274</v>
      </c>
      <c r="AK6" s="76" t="s">
        <v>274</v>
      </c>
      <c r="AL6" s="80" t="s">
        <v>274</v>
      </c>
      <c r="AM6" s="80" t="s">
        <v>274</v>
      </c>
    </row>
    <row r="7">
      <c r="B7" s="75" t="s">
        <v>335</v>
      </c>
      <c r="C7" s="75" t="s">
        <v>336</v>
      </c>
      <c r="D7" s="75" t="s">
        <v>337</v>
      </c>
      <c r="E7" s="76" t="s">
        <v>273</v>
      </c>
      <c r="F7" s="76" t="s">
        <v>273</v>
      </c>
      <c r="G7" s="76" t="s">
        <v>274</v>
      </c>
      <c r="H7" s="76" t="s">
        <v>274</v>
      </c>
      <c r="I7" s="76" t="s">
        <v>274</v>
      </c>
      <c r="J7" s="76" t="s">
        <v>273</v>
      </c>
      <c r="K7" s="76" t="s">
        <v>275</v>
      </c>
      <c r="L7" s="76" t="s">
        <v>274</v>
      </c>
      <c r="M7" s="76" t="s">
        <v>274</v>
      </c>
      <c r="N7" s="76" t="s">
        <v>274</v>
      </c>
      <c r="O7" s="76" t="s">
        <v>274</v>
      </c>
      <c r="P7" s="76" t="s">
        <v>275</v>
      </c>
      <c r="Q7" s="76" t="s">
        <v>274</v>
      </c>
      <c r="R7" s="76" t="s">
        <v>275</v>
      </c>
      <c r="S7" s="76" t="s">
        <v>274</v>
      </c>
      <c r="T7" s="76" t="s">
        <v>274</v>
      </c>
      <c r="U7" s="76" t="s">
        <v>274</v>
      </c>
      <c r="V7" s="76" t="s">
        <v>274</v>
      </c>
      <c r="W7" s="76" t="s">
        <v>274</v>
      </c>
      <c r="X7" s="76" t="s">
        <v>274</v>
      </c>
      <c r="Y7" s="76" t="s">
        <v>274</v>
      </c>
      <c r="Z7" s="76" t="s">
        <v>274</v>
      </c>
      <c r="AA7" s="76" t="s">
        <v>274</v>
      </c>
      <c r="AB7" s="76" t="s">
        <v>274</v>
      </c>
      <c r="AC7" s="76"/>
      <c r="AD7" s="76" t="s">
        <v>274</v>
      </c>
      <c r="AE7" s="76" t="s">
        <v>274</v>
      </c>
      <c r="AF7" s="76" t="s">
        <v>274</v>
      </c>
      <c r="AG7" s="76" t="s">
        <v>274</v>
      </c>
      <c r="AH7" s="76" t="s">
        <v>274</v>
      </c>
      <c r="AI7" s="76" t="s">
        <v>274</v>
      </c>
      <c r="AJ7" s="76" t="s">
        <v>274</v>
      </c>
      <c r="AK7" s="76" t="s">
        <v>274</v>
      </c>
      <c r="AL7" s="80" t="s">
        <v>274</v>
      </c>
      <c r="AM7" s="80" t="s">
        <v>274</v>
      </c>
    </row>
    <row r="8">
      <c r="C8" s="75" t="s">
        <v>338</v>
      </c>
      <c r="D8" s="75" t="s">
        <v>339</v>
      </c>
      <c r="E8" s="76" t="s">
        <v>273</v>
      </c>
      <c r="F8" s="76" t="s">
        <v>273</v>
      </c>
      <c r="G8" s="76" t="s">
        <v>273</v>
      </c>
      <c r="H8" s="76" t="s">
        <v>274</v>
      </c>
      <c r="I8" s="76" t="s">
        <v>274</v>
      </c>
      <c r="J8" s="76" t="s">
        <v>273</v>
      </c>
      <c r="K8" s="76" t="s">
        <v>275</v>
      </c>
      <c r="L8" s="76" t="s">
        <v>274</v>
      </c>
      <c r="M8" s="76" t="s">
        <v>274</v>
      </c>
      <c r="N8" s="76" t="s">
        <v>274</v>
      </c>
      <c r="O8" s="76" t="s">
        <v>274</v>
      </c>
      <c r="P8" s="76" t="s">
        <v>275</v>
      </c>
      <c r="Q8" s="76" t="s">
        <v>274</v>
      </c>
      <c r="R8" s="76" t="s">
        <v>275</v>
      </c>
      <c r="S8" s="76" t="s">
        <v>274</v>
      </c>
      <c r="T8" s="76" t="s">
        <v>274</v>
      </c>
      <c r="U8" s="76" t="s">
        <v>274</v>
      </c>
      <c r="V8" s="76" t="s">
        <v>274</v>
      </c>
      <c r="W8" s="76" t="s">
        <v>274</v>
      </c>
      <c r="X8" s="76" t="s">
        <v>274</v>
      </c>
      <c r="Y8" s="76" t="s">
        <v>274</v>
      </c>
      <c r="Z8" s="76" t="s">
        <v>274</v>
      </c>
      <c r="AA8" s="76" t="s">
        <v>274</v>
      </c>
      <c r="AB8" s="76" t="s">
        <v>274</v>
      </c>
      <c r="AC8" s="76"/>
      <c r="AD8" s="76" t="s">
        <v>274</v>
      </c>
      <c r="AE8" s="76" t="s">
        <v>274</v>
      </c>
      <c r="AF8" s="76" t="s">
        <v>274</v>
      </c>
      <c r="AG8" s="76" t="s">
        <v>274</v>
      </c>
      <c r="AH8" s="76" t="s">
        <v>274</v>
      </c>
      <c r="AI8" s="76" t="s">
        <v>274</v>
      </c>
      <c r="AJ8" s="76" t="s">
        <v>274</v>
      </c>
      <c r="AK8" s="76" t="s">
        <v>274</v>
      </c>
      <c r="AL8" s="80" t="s">
        <v>274</v>
      </c>
      <c r="AM8" s="80" t="s">
        <v>274</v>
      </c>
    </row>
    <row r="9">
      <c r="B9" s="75" t="s">
        <v>340</v>
      </c>
      <c r="C9" s="75" t="s">
        <v>341</v>
      </c>
      <c r="D9" s="75" t="s">
        <v>342</v>
      </c>
      <c r="E9" s="76" t="s">
        <v>273</v>
      </c>
      <c r="F9" s="76" t="s">
        <v>273</v>
      </c>
      <c r="G9" s="76" t="s">
        <v>274</v>
      </c>
      <c r="H9" s="76" t="s">
        <v>274</v>
      </c>
      <c r="I9" s="76" t="s">
        <v>274</v>
      </c>
      <c r="J9" s="76" t="s">
        <v>273</v>
      </c>
      <c r="K9" s="76" t="s">
        <v>275</v>
      </c>
      <c r="L9" s="76" t="s">
        <v>274</v>
      </c>
      <c r="M9" s="76" t="s">
        <v>274</v>
      </c>
      <c r="N9" s="76" t="s">
        <v>274</v>
      </c>
      <c r="O9" s="76" t="s">
        <v>274</v>
      </c>
      <c r="P9" s="76" t="s">
        <v>275</v>
      </c>
      <c r="Q9" s="76" t="s">
        <v>274</v>
      </c>
      <c r="R9" s="76" t="s">
        <v>275</v>
      </c>
      <c r="S9" s="76" t="s">
        <v>274</v>
      </c>
      <c r="T9" s="76" t="s">
        <v>274</v>
      </c>
      <c r="U9" s="76" t="s">
        <v>274</v>
      </c>
      <c r="V9" s="76" t="s">
        <v>274</v>
      </c>
      <c r="W9" s="76" t="s">
        <v>274</v>
      </c>
      <c r="X9" s="76" t="s">
        <v>274</v>
      </c>
      <c r="Y9" s="76" t="s">
        <v>274</v>
      </c>
      <c r="Z9" s="76" t="s">
        <v>274</v>
      </c>
      <c r="AA9" s="76" t="s">
        <v>274</v>
      </c>
      <c r="AB9" s="76" t="s">
        <v>274</v>
      </c>
      <c r="AC9" s="76"/>
      <c r="AD9" s="76" t="s">
        <v>274</v>
      </c>
      <c r="AE9" s="76" t="s">
        <v>274</v>
      </c>
      <c r="AF9" s="76" t="s">
        <v>274</v>
      </c>
      <c r="AG9" s="76" t="s">
        <v>274</v>
      </c>
      <c r="AH9" s="76" t="s">
        <v>274</v>
      </c>
      <c r="AI9" s="76" t="s">
        <v>274</v>
      </c>
      <c r="AJ9" s="76" t="s">
        <v>274</v>
      </c>
      <c r="AK9" s="76" t="s">
        <v>274</v>
      </c>
      <c r="AL9" s="80" t="s">
        <v>274</v>
      </c>
      <c r="AM9" s="80" t="s">
        <v>274</v>
      </c>
    </row>
    <row r="10">
      <c r="B10" s="75" t="s">
        <v>343</v>
      </c>
      <c r="C10" s="75" t="s">
        <v>344</v>
      </c>
      <c r="D10" s="75" t="s">
        <v>345</v>
      </c>
      <c r="E10" s="76" t="s">
        <v>273</v>
      </c>
      <c r="F10" s="76" t="s">
        <v>273</v>
      </c>
      <c r="G10" s="76" t="s">
        <v>275</v>
      </c>
      <c r="H10" s="76" t="s">
        <v>274</v>
      </c>
      <c r="I10" s="76" t="s">
        <v>274</v>
      </c>
      <c r="J10" s="76" t="s">
        <v>273</v>
      </c>
      <c r="K10" s="76" t="s">
        <v>275</v>
      </c>
      <c r="L10" s="76" t="s">
        <v>274</v>
      </c>
      <c r="M10" s="76" t="s">
        <v>274</v>
      </c>
      <c r="N10" s="76" t="s">
        <v>274</v>
      </c>
      <c r="O10" s="76" t="s">
        <v>274</v>
      </c>
      <c r="P10" s="76" t="s">
        <v>275</v>
      </c>
      <c r="Q10" s="76" t="s">
        <v>274</v>
      </c>
      <c r="R10" s="76" t="s">
        <v>275</v>
      </c>
      <c r="S10" s="76" t="s">
        <v>274</v>
      </c>
      <c r="T10" s="76" t="s">
        <v>274</v>
      </c>
      <c r="U10" s="76" t="s">
        <v>274</v>
      </c>
      <c r="V10" s="76" t="s">
        <v>274</v>
      </c>
      <c r="W10" s="76" t="s">
        <v>274</v>
      </c>
      <c r="X10" s="76" t="s">
        <v>274</v>
      </c>
      <c r="Y10" s="76" t="s">
        <v>274</v>
      </c>
      <c r="Z10" s="76" t="s">
        <v>274</v>
      </c>
      <c r="AA10" s="76" t="s">
        <v>274</v>
      </c>
      <c r="AB10" s="76" t="s">
        <v>274</v>
      </c>
      <c r="AC10" s="76"/>
      <c r="AD10" s="76" t="s">
        <v>274</v>
      </c>
      <c r="AE10" s="76" t="s">
        <v>274</v>
      </c>
      <c r="AF10" s="76" t="s">
        <v>274</v>
      </c>
      <c r="AG10" s="76" t="s">
        <v>274</v>
      </c>
      <c r="AH10" s="76" t="s">
        <v>274</v>
      </c>
      <c r="AI10" s="76" t="s">
        <v>274</v>
      </c>
      <c r="AJ10" s="76" t="s">
        <v>274</v>
      </c>
      <c r="AK10" s="76" t="s">
        <v>274</v>
      </c>
      <c r="AL10" s="80" t="s">
        <v>274</v>
      </c>
      <c r="AM10" s="80" t="s">
        <v>274</v>
      </c>
    </row>
    <row r="11" ht="18.75" customHeight="1">
      <c r="C11" s="75" t="s">
        <v>346</v>
      </c>
      <c r="D11" s="75" t="s">
        <v>347</v>
      </c>
      <c r="E11" s="76" t="s">
        <v>273</v>
      </c>
      <c r="F11" s="76" t="s">
        <v>273</v>
      </c>
      <c r="G11" s="76" t="s">
        <v>274</v>
      </c>
      <c r="H11" s="76" t="s">
        <v>274</v>
      </c>
      <c r="I11" s="76" t="s">
        <v>274</v>
      </c>
      <c r="J11" s="76" t="s">
        <v>273</v>
      </c>
      <c r="K11" s="76" t="s">
        <v>275</v>
      </c>
      <c r="L11" s="76" t="s">
        <v>274</v>
      </c>
      <c r="M11" s="76" t="s">
        <v>274</v>
      </c>
      <c r="N11" s="76" t="s">
        <v>274</v>
      </c>
      <c r="O11" s="76" t="s">
        <v>274</v>
      </c>
      <c r="P11" s="76" t="s">
        <v>275</v>
      </c>
      <c r="Q11" s="76" t="s">
        <v>274</v>
      </c>
      <c r="R11" s="76" t="s">
        <v>275</v>
      </c>
      <c r="S11" s="76" t="s">
        <v>274</v>
      </c>
      <c r="T11" s="76" t="s">
        <v>274</v>
      </c>
      <c r="U11" s="76" t="s">
        <v>274</v>
      </c>
      <c r="V11" s="76" t="s">
        <v>274</v>
      </c>
      <c r="W11" s="76" t="s">
        <v>274</v>
      </c>
      <c r="X11" s="76" t="s">
        <v>274</v>
      </c>
      <c r="Y11" s="76" t="s">
        <v>274</v>
      </c>
      <c r="Z11" s="76" t="s">
        <v>274</v>
      </c>
      <c r="AA11" s="76" t="s">
        <v>274</v>
      </c>
      <c r="AB11" s="76" t="s">
        <v>274</v>
      </c>
      <c r="AC11" s="76"/>
      <c r="AD11" s="76" t="s">
        <v>274</v>
      </c>
      <c r="AE11" s="76" t="s">
        <v>274</v>
      </c>
      <c r="AF11" s="76" t="s">
        <v>274</v>
      </c>
      <c r="AG11" s="76" t="s">
        <v>274</v>
      </c>
      <c r="AH11" s="76" t="s">
        <v>274</v>
      </c>
      <c r="AI11" s="76" t="s">
        <v>274</v>
      </c>
      <c r="AJ11" s="76" t="s">
        <v>274</v>
      </c>
      <c r="AK11" s="76" t="s">
        <v>274</v>
      </c>
      <c r="AL11" s="80" t="s">
        <v>274</v>
      </c>
      <c r="AM11" s="80" t="s">
        <v>274</v>
      </c>
    </row>
    <row r="12">
      <c r="B12" s="75" t="s">
        <v>348</v>
      </c>
      <c r="C12" s="75" t="s">
        <v>349</v>
      </c>
      <c r="D12" s="75" t="s">
        <v>350</v>
      </c>
      <c r="E12" s="76" t="s">
        <v>274</v>
      </c>
      <c r="F12" s="76" t="s">
        <v>274</v>
      </c>
      <c r="G12" s="76" t="s">
        <v>273</v>
      </c>
      <c r="H12" s="76" t="s">
        <v>274</v>
      </c>
      <c r="I12" s="76" t="s">
        <v>274</v>
      </c>
      <c r="J12" s="76" t="s">
        <v>273</v>
      </c>
      <c r="K12" s="76" t="s">
        <v>275</v>
      </c>
      <c r="L12" s="76" t="s">
        <v>273</v>
      </c>
      <c r="M12" s="76" t="s">
        <v>273</v>
      </c>
      <c r="N12" s="76" t="s">
        <v>273</v>
      </c>
      <c r="O12" s="76" t="s">
        <v>274</v>
      </c>
      <c r="P12" s="76" t="s">
        <v>275</v>
      </c>
      <c r="Q12" s="76" t="s">
        <v>274</v>
      </c>
      <c r="R12" s="76" t="s">
        <v>275</v>
      </c>
      <c r="S12" s="76" t="s">
        <v>274</v>
      </c>
      <c r="T12" s="76" t="s">
        <v>274</v>
      </c>
      <c r="U12" s="76" t="s">
        <v>274</v>
      </c>
      <c r="V12" s="76" t="s">
        <v>274</v>
      </c>
      <c r="W12" s="76" t="s">
        <v>274</v>
      </c>
      <c r="X12" s="76" t="s">
        <v>274</v>
      </c>
      <c r="Y12" s="76" t="s">
        <v>274</v>
      </c>
      <c r="Z12" s="76" t="s">
        <v>274</v>
      </c>
      <c r="AA12" s="76" t="s">
        <v>274</v>
      </c>
      <c r="AB12" s="76" t="s">
        <v>274</v>
      </c>
      <c r="AC12" s="76"/>
      <c r="AD12" s="76" t="s">
        <v>274</v>
      </c>
      <c r="AE12" s="76" t="s">
        <v>274</v>
      </c>
      <c r="AF12" s="76" t="s">
        <v>274</v>
      </c>
      <c r="AG12" s="76" t="s">
        <v>274</v>
      </c>
      <c r="AH12" s="76" t="s">
        <v>274</v>
      </c>
      <c r="AI12" s="76" t="s">
        <v>274</v>
      </c>
      <c r="AJ12" s="76" t="s">
        <v>274</v>
      </c>
      <c r="AK12" s="76" t="s">
        <v>274</v>
      </c>
      <c r="AL12" s="80" t="s">
        <v>274</v>
      </c>
      <c r="AM12" s="80" t="s">
        <v>274</v>
      </c>
    </row>
    <row r="13">
      <c r="C13" s="75" t="s">
        <v>351</v>
      </c>
      <c r="D13" s="75" t="s">
        <v>352</v>
      </c>
      <c r="E13" s="76" t="s">
        <v>274</v>
      </c>
      <c r="F13" s="76" t="s">
        <v>274</v>
      </c>
      <c r="G13" s="76" t="s">
        <v>273</v>
      </c>
      <c r="H13" s="76" t="s">
        <v>274</v>
      </c>
      <c r="I13" s="76" t="s">
        <v>274</v>
      </c>
      <c r="J13" s="76" t="s">
        <v>273</v>
      </c>
      <c r="K13" s="76" t="s">
        <v>275</v>
      </c>
      <c r="L13" s="76" t="s">
        <v>274</v>
      </c>
      <c r="M13" s="76" t="s">
        <v>274</v>
      </c>
      <c r="N13" s="76" t="s">
        <v>274</v>
      </c>
      <c r="O13" s="76" t="s">
        <v>274</v>
      </c>
      <c r="P13" s="76" t="s">
        <v>275</v>
      </c>
      <c r="Q13" s="76" t="s">
        <v>274</v>
      </c>
      <c r="R13" s="76" t="s">
        <v>275</v>
      </c>
      <c r="S13" s="76" t="s">
        <v>274</v>
      </c>
      <c r="T13" s="76" t="s">
        <v>274</v>
      </c>
      <c r="U13" s="76" t="s">
        <v>274</v>
      </c>
      <c r="V13" s="76" t="s">
        <v>274</v>
      </c>
      <c r="W13" s="76" t="s">
        <v>274</v>
      </c>
      <c r="X13" s="76" t="s">
        <v>274</v>
      </c>
      <c r="Y13" s="76" t="s">
        <v>274</v>
      </c>
      <c r="Z13" s="76" t="s">
        <v>274</v>
      </c>
      <c r="AA13" s="76" t="s">
        <v>274</v>
      </c>
      <c r="AB13" s="76" t="s">
        <v>274</v>
      </c>
      <c r="AC13" s="76"/>
      <c r="AD13" s="76" t="s">
        <v>274</v>
      </c>
      <c r="AE13" s="76" t="s">
        <v>274</v>
      </c>
      <c r="AF13" s="76" t="s">
        <v>274</v>
      </c>
      <c r="AG13" s="76" t="s">
        <v>274</v>
      </c>
      <c r="AH13" s="76" t="s">
        <v>274</v>
      </c>
      <c r="AI13" s="76" t="s">
        <v>274</v>
      </c>
      <c r="AJ13" s="76" t="s">
        <v>274</v>
      </c>
      <c r="AK13" s="76" t="s">
        <v>274</v>
      </c>
      <c r="AL13" s="80" t="s">
        <v>274</v>
      </c>
      <c r="AM13" s="80" t="s">
        <v>274</v>
      </c>
    </row>
    <row r="14">
      <c r="A14" s="71"/>
      <c r="B14" s="75" t="s">
        <v>353</v>
      </c>
      <c r="C14" s="75" t="s">
        <v>354</v>
      </c>
      <c r="D14" s="75" t="s">
        <v>355</v>
      </c>
      <c r="E14" s="76" t="s">
        <v>273</v>
      </c>
      <c r="F14" s="76" t="s">
        <v>273</v>
      </c>
      <c r="G14" s="76" t="s">
        <v>273</v>
      </c>
      <c r="H14" s="76" t="s">
        <v>274</v>
      </c>
      <c r="I14" s="76" t="s">
        <v>274</v>
      </c>
      <c r="J14" s="76" t="s">
        <v>273</v>
      </c>
      <c r="K14" s="76" t="s">
        <v>275</v>
      </c>
      <c r="L14" s="76" t="s">
        <v>273</v>
      </c>
      <c r="M14" s="76" t="s">
        <v>273</v>
      </c>
      <c r="N14" s="76" t="s">
        <v>273</v>
      </c>
      <c r="O14" s="76" t="s">
        <v>274</v>
      </c>
      <c r="P14" s="76" t="s">
        <v>275</v>
      </c>
      <c r="Q14" s="76" t="s">
        <v>274</v>
      </c>
      <c r="R14" s="76" t="s">
        <v>275</v>
      </c>
      <c r="S14" s="76" t="s">
        <v>274</v>
      </c>
      <c r="T14" s="76" t="s">
        <v>274</v>
      </c>
      <c r="U14" s="76" t="s">
        <v>274</v>
      </c>
      <c r="V14" s="76" t="s">
        <v>274</v>
      </c>
      <c r="W14" s="76" t="s">
        <v>274</v>
      </c>
      <c r="X14" s="76" t="s">
        <v>274</v>
      </c>
      <c r="Y14" s="76" t="s">
        <v>274</v>
      </c>
      <c r="Z14" s="76" t="s">
        <v>274</v>
      </c>
      <c r="AA14" s="76" t="s">
        <v>274</v>
      </c>
      <c r="AB14" s="76" t="s">
        <v>274</v>
      </c>
      <c r="AC14" s="76"/>
      <c r="AD14" s="76" t="s">
        <v>274</v>
      </c>
      <c r="AE14" s="76" t="s">
        <v>274</v>
      </c>
      <c r="AF14" s="76" t="s">
        <v>274</v>
      </c>
      <c r="AG14" s="76" t="s">
        <v>274</v>
      </c>
      <c r="AH14" s="76" t="s">
        <v>274</v>
      </c>
      <c r="AI14" s="76" t="s">
        <v>274</v>
      </c>
      <c r="AJ14" s="76" t="s">
        <v>274</v>
      </c>
      <c r="AK14" s="76" t="s">
        <v>273</v>
      </c>
      <c r="AL14" s="81" t="s">
        <v>274</v>
      </c>
      <c r="AM14" s="81" t="s">
        <v>274</v>
      </c>
    </row>
    <row r="15">
      <c r="A15" s="71"/>
      <c r="B15" s="75"/>
      <c r="C15" s="75" t="s">
        <v>356</v>
      </c>
      <c r="D15" s="82" t="s">
        <v>357</v>
      </c>
      <c r="E15" s="76" t="s">
        <v>273</v>
      </c>
      <c r="F15" s="76" t="s">
        <v>273</v>
      </c>
      <c r="G15" s="76" t="s">
        <v>274</v>
      </c>
      <c r="H15" s="76" t="s">
        <v>274</v>
      </c>
      <c r="I15" s="76" t="s">
        <v>274</v>
      </c>
      <c r="J15" s="76" t="s">
        <v>273</v>
      </c>
      <c r="K15" s="76" t="s">
        <v>275</v>
      </c>
      <c r="L15" s="76" t="s">
        <v>273</v>
      </c>
      <c r="M15" s="76" t="s">
        <v>273</v>
      </c>
      <c r="N15" s="76" t="s">
        <v>273</v>
      </c>
      <c r="O15" s="76" t="s">
        <v>274</v>
      </c>
      <c r="P15" s="76" t="s">
        <v>275</v>
      </c>
      <c r="Q15" s="76" t="s">
        <v>274</v>
      </c>
      <c r="R15" s="76" t="s">
        <v>275</v>
      </c>
      <c r="S15" s="76" t="s">
        <v>274</v>
      </c>
      <c r="T15" s="76" t="s">
        <v>274</v>
      </c>
      <c r="U15" s="76" t="s">
        <v>274</v>
      </c>
      <c r="V15" s="76" t="s">
        <v>274</v>
      </c>
      <c r="W15" s="76" t="s">
        <v>274</v>
      </c>
      <c r="X15" s="76" t="s">
        <v>274</v>
      </c>
      <c r="Y15" s="76" t="s">
        <v>274</v>
      </c>
      <c r="Z15" s="76" t="s">
        <v>274</v>
      </c>
      <c r="AA15" s="76" t="s">
        <v>274</v>
      </c>
      <c r="AB15" s="76" t="s">
        <v>274</v>
      </c>
      <c r="AC15" s="76"/>
      <c r="AD15" s="76" t="s">
        <v>274</v>
      </c>
      <c r="AE15" s="76" t="s">
        <v>274</v>
      </c>
      <c r="AF15" s="76" t="s">
        <v>274</v>
      </c>
      <c r="AG15" s="76" t="s">
        <v>274</v>
      </c>
      <c r="AH15" s="76" t="s">
        <v>274</v>
      </c>
      <c r="AI15" s="76" t="s">
        <v>274</v>
      </c>
      <c r="AJ15" s="76" t="s">
        <v>274</v>
      </c>
      <c r="AK15" s="76" t="s">
        <v>274</v>
      </c>
      <c r="AL15" s="80" t="s">
        <v>274</v>
      </c>
      <c r="AM15" s="80" t="s">
        <v>274</v>
      </c>
    </row>
    <row r="16">
      <c r="A16" s="71"/>
      <c r="B16" s="75"/>
      <c r="C16" s="75" t="s">
        <v>358</v>
      </c>
      <c r="D16" s="75" t="s">
        <v>359</v>
      </c>
      <c r="E16" s="76" t="s">
        <v>274</v>
      </c>
      <c r="F16" s="76" t="s">
        <v>274</v>
      </c>
      <c r="G16" s="76" t="s">
        <v>274</v>
      </c>
      <c r="H16" s="76" t="s">
        <v>274</v>
      </c>
      <c r="I16" s="76" t="s">
        <v>274</v>
      </c>
      <c r="J16" s="76" t="s">
        <v>273</v>
      </c>
      <c r="K16" s="76" t="s">
        <v>275</v>
      </c>
      <c r="L16" s="76" t="s">
        <v>275</v>
      </c>
      <c r="M16" s="76" t="s">
        <v>275</v>
      </c>
      <c r="N16" s="76" t="s">
        <v>275</v>
      </c>
      <c r="O16" s="76" t="s">
        <v>275</v>
      </c>
      <c r="P16" s="76" t="s">
        <v>275</v>
      </c>
      <c r="Q16" s="76" t="s">
        <v>275</v>
      </c>
      <c r="R16" s="76" t="s">
        <v>275</v>
      </c>
      <c r="S16" s="76" t="s">
        <v>275</v>
      </c>
      <c r="T16" s="76" t="s">
        <v>275</v>
      </c>
      <c r="U16" s="76" t="s">
        <v>275</v>
      </c>
      <c r="V16" s="76" t="s">
        <v>274</v>
      </c>
      <c r="W16" s="76" t="s">
        <v>274</v>
      </c>
      <c r="X16" s="76" t="s">
        <v>274</v>
      </c>
      <c r="Y16" s="76" t="s">
        <v>274</v>
      </c>
      <c r="Z16" s="76" t="s">
        <v>274</v>
      </c>
      <c r="AA16" s="76" t="s">
        <v>274</v>
      </c>
      <c r="AB16" s="76" t="s">
        <v>274</v>
      </c>
      <c r="AC16" s="76"/>
      <c r="AD16" s="76" t="s">
        <v>274</v>
      </c>
      <c r="AE16" s="76" t="s">
        <v>274</v>
      </c>
      <c r="AF16" s="76" t="s">
        <v>274</v>
      </c>
      <c r="AG16" s="76" t="s">
        <v>274</v>
      </c>
      <c r="AH16" s="76" t="s">
        <v>274</v>
      </c>
      <c r="AI16" s="76" t="s">
        <v>274</v>
      </c>
      <c r="AJ16" s="76" t="s">
        <v>274</v>
      </c>
      <c r="AK16" s="76" t="s">
        <v>274</v>
      </c>
      <c r="AL16" s="80" t="s">
        <v>274</v>
      </c>
      <c r="AM16" s="80" t="s">
        <v>274</v>
      </c>
    </row>
    <row r="17">
      <c r="A17" s="71" t="s">
        <v>360</v>
      </c>
      <c r="B17" s="75" t="s">
        <v>361</v>
      </c>
      <c r="C17" s="75" t="s">
        <v>362</v>
      </c>
      <c r="D17" s="75" t="s">
        <v>363</v>
      </c>
      <c r="E17" s="76" t="s">
        <v>273</v>
      </c>
      <c r="F17" s="76" t="s">
        <v>273</v>
      </c>
      <c r="G17" s="76" t="s">
        <v>273</v>
      </c>
      <c r="H17" s="76" t="s">
        <v>274</v>
      </c>
      <c r="I17" s="76" t="s">
        <v>273</v>
      </c>
      <c r="J17" s="76" t="s">
        <v>273</v>
      </c>
      <c r="K17" s="76" t="s">
        <v>275</v>
      </c>
      <c r="L17" s="76" t="s">
        <v>275</v>
      </c>
      <c r="M17" s="76" t="s">
        <v>275</v>
      </c>
      <c r="N17" s="76" t="s">
        <v>275</v>
      </c>
      <c r="O17" s="76" t="s">
        <v>275</v>
      </c>
      <c r="P17" s="76" t="s">
        <v>275</v>
      </c>
      <c r="Q17" s="76" t="s">
        <v>275</v>
      </c>
      <c r="R17" s="76" t="s">
        <v>275</v>
      </c>
      <c r="S17" s="76" t="s">
        <v>275</v>
      </c>
      <c r="T17" s="76" t="s">
        <v>274</v>
      </c>
      <c r="U17" s="76" t="s">
        <v>274</v>
      </c>
      <c r="V17" s="76" t="s">
        <v>274</v>
      </c>
      <c r="W17" s="76" t="s">
        <v>274</v>
      </c>
      <c r="X17" s="76" t="s">
        <v>274</v>
      </c>
      <c r="Y17" s="76" t="s">
        <v>274</v>
      </c>
      <c r="Z17" s="76" t="s">
        <v>274</v>
      </c>
      <c r="AA17" s="76" t="s">
        <v>274</v>
      </c>
      <c r="AB17" s="76" t="s">
        <v>274</v>
      </c>
      <c r="AC17" s="76"/>
      <c r="AD17" s="76" t="s">
        <v>274</v>
      </c>
      <c r="AE17" s="76" t="s">
        <v>274</v>
      </c>
      <c r="AF17" s="76" t="s">
        <v>274</v>
      </c>
      <c r="AG17" s="76" t="s">
        <v>274</v>
      </c>
      <c r="AH17" s="76" t="s">
        <v>274</v>
      </c>
      <c r="AI17" s="76" t="s">
        <v>274</v>
      </c>
      <c r="AJ17" s="76" t="s">
        <v>274</v>
      </c>
      <c r="AK17" s="76" t="s">
        <v>274</v>
      </c>
      <c r="AL17" s="80" t="s">
        <v>274</v>
      </c>
      <c r="AM17" s="80" t="s">
        <v>274</v>
      </c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83"/>
      <c r="AM18" s="83"/>
    </row>
    <row r="19">
      <c r="A19" s="71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83"/>
      <c r="AM19" s="83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83"/>
      <c r="AM20" s="83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83"/>
      <c r="AM21" s="83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83"/>
      <c r="AM22" s="83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83"/>
      <c r="AM23" s="83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83"/>
      <c r="AM24" s="83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83"/>
      <c r="AM25" s="83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83"/>
      <c r="AM26" s="83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83"/>
      <c r="AM27" s="83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83"/>
      <c r="AM28" s="83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83"/>
      <c r="AM29" s="83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83"/>
      <c r="AM30" s="83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83"/>
      <c r="AM31" s="83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83"/>
      <c r="AM32" s="83"/>
    </row>
  </sheetData>
  <mergeCells count="6">
    <mergeCell ref="A2:A5"/>
    <mergeCell ref="B2:B4"/>
    <mergeCell ref="A6:A13"/>
    <mergeCell ref="B7:B8"/>
    <mergeCell ref="B10:B11"/>
    <mergeCell ref="B12:B13"/>
  </mergeCells>
  <dataValidations>
    <dataValidation type="list" allowBlank="1" sqref="E2:AM17">
      <formula1>"PENDING,OK,FAILED"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5.63"/>
    <col customWidth="1" min="2" max="2" width="28.88"/>
    <col customWidth="1" min="3" max="3" width="36.25"/>
    <col customWidth="1" min="4" max="4" width="39.63"/>
  </cols>
  <sheetData>
    <row r="1">
      <c r="A1" s="72" t="s">
        <v>4</v>
      </c>
      <c r="B1" s="72" t="s">
        <v>256</v>
      </c>
      <c r="C1" s="72" t="s">
        <v>257</v>
      </c>
      <c r="D1" s="72" t="s">
        <v>258</v>
      </c>
      <c r="E1" s="73" t="s">
        <v>259</v>
      </c>
      <c r="F1" s="73" t="s">
        <v>260</v>
      </c>
      <c r="G1" s="73" t="s">
        <v>261</v>
      </c>
      <c r="H1" s="73" t="s">
        <v>261</v>
      </c>
      <c r="I1" s="73" t="s">
        <v>263</v>
      </c>
      <c r="J1" s="73" t="s">
        <v>264</v>
      </c>
      <c r="K1" s="73" t="s">
        <v>265</v>
      </c>
      <c r="L1" s="73" t="s">
        <v>266</v>
      </c>
      <c r="M1" s="73" t="s">
        <v>295</v>
      </c>
      <c r="N1" s="73" t="s">
        <v>296</v>
      </c>
      <c r="O1" s="73" t="s">
        <v>297</v>
      </c>
      <c r="P1" s="73" t="s">
        <v>298</v>
      </c>
      <c r="Q1" s="73" t="s">
        <v>299</v>
      </c>
      <c r="R1" s="73" t="s">
        <v>300</v>
      </c>
      <c r="S1" s="73" t="s">
        <v>301</v>
      </c>
      <c r="T1" s="73" t="s">
        <v>302</v>
      </c>
      <c r="U1" s="73" t="s">
        <v>303</v>
      </c>
      <c r="V1" s="73" t="s">
        <v>304</v>
      </c>
      <c r="W1" s="73" t="s">
        <v>305</v>
      </c>
      <c r="X1" s="73" t="s">
        <v>306</v>
      </c>
      <c r="Y1" s="73" t="s">
        <v>307</v>
      </c>
      <c r="Z1" s="73" t="s">
        <v>308</v>
      </c>
      <c r="AA1" s="73" t="s">
        <v>309</v>
      </c>
      <c r="AB1" s="73" t="s">
        <v>310</v>
      </c>
      <c r="AC1" s="73" t="s">
        <v>311</v>
      </c>
      <c r="AD1" s="73" t="s">
        <v>312</v>
      </c>
      <c r="AE1" s="73" t="s">
        <v>313</v>
      </c>
      <c r="AF1" s="73" t="s">
        <v>314</v>
      </c>
      <c r="AG1" s="73" t="s">
        <v>315</v>
      </c>
      <c r="AH1" s="73" t="s">
        <v>316</v>
      </c>
      <c r="AI1" s="73" t="s">
        <v>317</v>
      </c>
      <c r="AJ1" s="73" t="s">
        <v>318</v>
      </c>
      <c r="AK1" s="73" t="s">
        <v>319</v>
      </c>
      <c r="AL1" s="73" t="s">
        <v>320</v>
      </c>
      <c r="AM1" s="73" t="s">
        <v>364</v>
      </c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</row>
    <row r="2">
      <c r="A2" s="71" t="s">
        <v>365</v>
      </c>
      <c r="B2" s="75" t="s">
        <v>366</v>
      </c>
      <c r="C2" s="75" t="s">
        <v>367</v>
      </c>
      <c r="D2" s="75" t="s">
        <v>368</v>
      </c>
      <c r="E2" s="76" t="s">
        <v>274</v>
      </c>
      <c r="F2" s="76" t="s">
        <v>274</v>
      </c>
      <c r="G2" s="76" t="s">
        <v>274</v>
      </c>
      <c r="H2" s="76" t="s">
        <v>274</v>
      </c>
      <c r="I2" s="76" t="s">
        <v>274</v>
      </c>
      <c r="J2" s="76" t="s">
        <v>273</v>
      </c>
      <c r="K2" s="76" t="s">
        <v>273</v>
      </c>
      <c r="L2" s="76" t="s">
        <v>274</v>
      </c>
      <c r="M2" s="76" t="s">
        <v>274</v>
      </c>
      <c r="N2" s="76" t="s">
        <v>274</v>
      </c>
      <c r="O2" s="76" t="s">
        <v>274</v>
      </c>
      <c r="P2" s="76" t="s">
        <v>275</v>
      </c>
      <c r="Q2" s="76" t="s">
        <v>274</v>
      </c>
      <c r="R2" s="76" t="s">
        <v>275</v>
      </c>
      <c r="S2" s="76" t="s">
        <v>274</v>
      </c>
      <c r="T2" s="76" t="s">
        <v>274</v>
      </c>
      <c r="U2" s="76" t="s">
        <v>274</v>
      </c>
      <c r="V2" s="76" t="s">
        <v>274</v>
      </c>
      <c r="W2" s="76" t="s">
        <v>274</v>
      </c>
      <c r="X2" s="76" t="s">
        <v>274</v>
      </c>
      <c r="Y2" s="76" t="s">
        <v>274</v>
      </c>
      <c r="Z2" s="76" t="s">
        <v>274</v>
      </c>
      <c r="AA2" s="76" t="s">
        <v>274</v>
      </c>
      <c r="AB2" s="76" t="s">
        <v>274</v>
      </c>
      <c r="AC2" s="76"/>
      <c r="AD2" s="76" t="s">
        <v>274</v>
      </c>
      <c r="AE2" s="76" t="s">
        <v>274</v>
      </c>
      <c r="AF2" s="76" t="s">
        <v>274</v>
      </c>
      <c r="AG2" s="76" t="s">
        <v>274</v>
      </c>
      <c r="AH2" s="76" t="s">
        <v>274</v>
      </c>
      <c r="AI2" s="76" t="s">
        <v>274</v>
      </c>
      <c r="AJ2" s="76" t="s">
        <v>274</v>
      </c>
      <c r="AK2" s="76" t="s">
        <v>274</v>
      </c>
      <c r="AL2" s="76" t="s">
        <v>274</v>
      </c>
      <c r="AM2" s="76" t="s">
        <v>274</v>
      </c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</row>
    <row r="3">
      <c r="D3" s="85" t="s">
        <v>369</v>
      </c>
      <c r="E3" s="76" t="s">
        <v>273</v>
      </c>
      <c r="F3" s="76" t="s">
        <v>274</v>
      </c>
      <c r="G3" s="76" t="s">
        <v>274</v>
      </c>
      <c r="H3" s="76" t="s">
        <v>274</v>
      </c>
      <c r="I3" s="76" t="s">
        <v>274</v>
      </c>
      <c r="J3" s="76" t="s">
        <v>273</v>
      </c>
      <c r="K3" s="76" t="s">
        <v>273</v>
      </c>
      <c r="L3" s="76" t="s">
        <v>274</v>
      </c>
      <c r="M3" s="76" t="s">
        <v>274</v>
      </c>
      <c r="N3" s="76" t="s">
        <v>274</v>
      </c>
      <c r="O3" s="76" t="s">
        <v>274</v>
      </c>
      <c r="P3" s="76" t="s">
        <v>275</v>
      </c>
      <c r="Q3" s="76" t="s">
        <v>274</v>
      </c>
      <c r="R3" s="76" t="s">
        <v>275</v>
      </c>
      <c r="S3" s="76"/>
      <c r="T3" s="76" t="s">
        <v>274</v>
      </c>
      <c r="U3" s="76" t="s">
        <v>274</v>
      </c>
      <c r="V3" s="76" t="s">
        <v>274</v>
      </c>
      <c r="W3" s="76" t="s">
        <v>274</v>
      </c>
      <c r="X3" s="76" t="s">
        <v>274</v>
      </c>
      <c r="Y3" s="76" t="s">
        <v>274</v>
      </c>
      <c r="Z3" s="76" t="s">
        <v>274</v>
      </c>
      <c r="AA3" s="76" t="s">
        <v>274</v>
      </c>
      <c r="AB3" s="76" t="s">
        <v>274</v>
      </c>
      <c r="AC3" s="76"/>
      <c r="AD3" s="76" t="s">
        <v>274</v>
      </c>
      <c r="AE3" s="76" t="s">
        <v>274</v>
      </c>
      <c r="AF3" s="76" t="s">
        <v>274</v>
      </c>
      <c r="AG3" s="76" t="s">
        <v>274</v>
      </c>
      <c r="AH3" s="76" t="s">
        <v>274</v>
      </c>
      <c r="AI3" s="76" t="s">
        <v>274</v>
      </c>
      <c r="AJ3" s="76" t="s">
        <v>274</v>
      </c>
      <c r="AK3" s="76" t="s">
        <v>274</v>
      </c>
      <c r="AL3" s="76" t="s">
        <v>274</v>
      </c>
      <c r="AM3" s="76" t="s">
        <v>274</v>
      </c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</row>
    <row r="4">
      <c r="A4" s="71" t="s">
        <v>370</v>
      </c>
      <c r="B4" s="75" t="s">
        <v>371</v>
      </c>
      <c r="C4" s="75" t="s">
        <v>372</v>
      </c>
      <c r="D4" s="75" t="s">
        <v>373</v>
      </c>
      <c r="E4" s="76" t="s">
        <v>273</v>
      </c>
      <c r="F4" s="76" t="s">
        <v>274</v>
      </c>
      <c r="G4" s="76" t="s">
        <v>274</v>
      </c>
      <c r="H4" s="76" t="s">
        <v>274</v>
      </c>
      <c r="I4" s="76" t="s">
        <v>274</v>
      </c>
      <c r="J4" s="76" t="s">
        <v>273</v>
      </c>
      <c r="K4" s="76" t="s">
        <v>273</v>
      </c>
      <c r="L4" s="76" t="s">
        <v>274</v>
      </c>
      <c r="M4" s="76" t="s">
        <v>274</v>
      </c>
      <c r="N4" s="76" t="s">
        <v>274</v>
      </c>
      <c r="O4" s="76" t="s">
        <v>274</v>
      </c>
      <c r="P4" s="76" t="s">
        <v>275</v>
      </c>
      <c r="Q4" s="76" t="s">
        <v>274</v>
      </c>
      <c r="R4" s="76" t="s">
        <v>275</v>
      </c>
      <c r="S4" s="76"/>
      <c r="T4" s="76" t="s">
        <v>274</v>
      </c>
      <c r="U4" s="76" t="s">
        <v>274</v>
      </c>
      <c r="V4" s="76" t="s">
        <v>274</v>
      </c>
      <c r="W4" s="76" t="s">
        <v>274</v>
      </c>
      <c r="X4" s="76" t="s">
        <v>274</v>
      </c>
      <c r="Y4" s="76" t="s">
        <v>274</v>
      </c>
      <c r="Z4" s="76" t="s">
        <v>274</v>
      </c>
      <c r="AA4" s="76" t="s">
        <v>274</v>
      </c>
      <c r="AB4" s="76" t="s">
        <v>274</v>
      </c>
      <c r="AC4" s="76"/>
      <c r="AD4" s="76" t="s">
        <v>274</v>
      </c>
      <c r="AE4" s="76" t="s">
        <v>274</v>
      </c>
      <c r="AF4" s="76" t="s">
        <v>274</v>
      </c>
      <c r="AG4" s="76" t="s">
        <v>274</v>
      </c>
      <c r="AH4" s="76" t="s">
        <v>274</v>
      </c>
      <c r="AI4" s="76" t="s">
        <v>274</v>
      </c>
      <c r="AJ4" s="76" t="s">
        <v>274</v>
      </c>
      <c r="AK4" s="76" t="s">
        <v>274</v>
      </c>
      <c r="AL4" s="76" t="s">
        <v>274</v>
      </c>
      <c r="AM4" s="76" t="s">
        <v>274</v>
      </c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</row>
    <row r="5">
      <c r="D5" s="85" t="s">
        <v>374</v>
      </c>
      <c r="E5" s="76" t="s">
        <v>273</v>
      </c>
      <c r="F5" s="76" t="s">
        <v>274</v>
      </c>
      <c r="G5" s="76" t="s">
        <v>274</v>
      </c>
      <c r="H5" s="76" t="s">
        <v>274</v>
      </c>
      <c r="I5" s="76" t="s">
        <v>274</v>
      </c>
      <c r="J5" s="76" t="s">
        <v>273</v>
      </c>
      <c r="K5" s="76" t="s">
        <v>273</v>
      </c>
      <c r="L5" s="76" t="s">
        <v>274</v>
      </c>
      <c r="M5" s="76"/>
      <c r="N5" s="76" t="s">
        <v>274</v>
      </c>
      <c r="O5" s="76" t="s">
        <v>274</v>
      </c>
      <c r="P5" s="76" t="s">
        <v>275</v>
      </c>
      <c r="Q5" s="76" t="s">
        <v>274</v>
      </c>
      <c r="R5" s="76" t="s">
        <v>275</v>
      </c>
      <c r="S5" s="76"/>
      <c r="T5" s="76" t="s">
        <v>274</v>
      </c>
      <c r="U5" s="76" t="s">
        <v>274</v>
      </c>
      <c r="V5" s="76" t="s">
        <v>274</v>
      </c>
      <c r="W5" s="76" t="s">
        <v>274</v>
      </c>
      <c r="X5" s="76" t="s">
        <v>274</v>
      </c>
      <c r="Y5" s="76" t="s">
        <v>274</v>
      </c>
      <c r="Z5" s="76" t="s">
        <v>274</v>
      </c>
      <c r="AA5" s="76" t="s">
        <v>274</v>
      </c>
      <c r="AB5" s="76" t="s">
        <v>274</v>
      </c>
      <c r="AC5" s="76"/>
      <c r="AD5" s="76" t="s">
        <v>274</v>
      </c>
      <c r="AE5" s="76" t="s">
        <v>274</v>
      </c>
      <c r="AF5" s="76" t="s">
        <v>274</v>
      </c>
      <c r="AG5" s="76" t="s">
        <v>274</v>
      </c>
      <c r="AH5" s="76" t="s">
        <v>274</v>
      </c>
      <c r="AI5" s="76" t="s">
        <v>274</v>
      </c>
      <c r="AJ5" s="76" t="s">
        <v>274</v>
      </c>
      <c r="AK5" s="76" t="s">
        <v>274</v>
      </c>
      <c r="AL5" s="76" t="s">
        <v>274</v>
      </c>
      <c r="AM5" s="76" t="s">
        <v>274</v>
      </c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</row>
    <row r="6">
      <c r="A6" s="71" t="s">
        <v>375</v>
      </c>
      <c r="B6" s="75" t="s">
        <v>376</v>
      </c>
      <c r="C6" s="75" t="s">
        <v>377</v>
      </c>
      <c r="D6" s="75" t="s">
        <v>378</v>
      </c>
      <c r="E6" s="76" t="s">
        <v>273</v>
      </c>
      <c r="F6" s="76" t="s">
        <v>275</v>
      </c>
      <c r="G6" s="76" t="s">
        <v>273</v>
      </c>
      <c r="H6" s="76" t="s">
        <v>274</v>
      </c>
      <c r="I6" s="76" t="s">
        <v>274</v>
      </c>
      <c r="J6" s="76" t="s">
        <v>273</v>
      </c>
      <c r="K6" s="76" t="s">
        <v>273</v>
      </c>
      <c r="L6" s="76" t="s">
        <v>274</v>
      </c>
      <c r="M6" s="76" t="s">
        <v>274</v>
      </c>
      <c r="N6" s="76" t="s">
        <v>274</v>
      </c>
      <c r="O6" s="76" t="s">
        <v>274</v>
      </c>
      <c r="P6" s="76" t="s">
        <v>275</v>
      </c>
      <c r="Q6" s="76" t="s">
        <v>274</v>
      </c>
      <c r="R6" s="76" t="s">
        <v>275</v>
      </c>
      <c r="S6" s="76" t="s">
        <v>274</v>
      </c>
      <c r="T6" s="76" t="s">
        <v>274</v>
      </c>
      <c r="U6" s="76" t="s">
        <v>274</v>
      </c>
      <c r="V6" s="76" t="s">
        <v>274</v>
      </c>
      <c r="W6" s="76" t="s">
        <v>274</v>
      </c>
      <c r="X6" s="76" t="s">
        <v>274</v>
      </c>
      <c r="Y6" s="76" t="s">
        <v>274</v>
      </c>
      <c r="Z6" s="76" t="s">
        <v>274</v>
      </c>
      <c r="AA6" s="76" t="s">
        <v>274</v>
      </c>
      <c r="AB6" s="76" t="s">
        <v>274</v>
      </c>
      <c r="AC6" s="76"/>
      <c r="AD6" s="76" t="s">
        <v>274</v>
      </c>
      <c r="AE6" s="76" t="s">
        <v>274</v>
      </c>
      <c r="AF6" s="76" t="s">
        <v>274</v>
      </c>
      <c r="AG6" s="76" t="s">
        <v>274</v>
      </c>
      <c r="AH6" s="76" t="s">
        <v>274</v>
      </c>
      <c r="AI6" s="76" t="s">
        <v>274</v>
      </c>
      <c r="AJ6" s="76" t="s">
        <v>274</v>
      </c>
      <c r="AK6" s="76" t="s">
        <v>274</v>
      </c>
      <c r="AL6" s="76" t="s">
        <v>274</v>
      </c>
      <c r="AM6" s="76" t="s">
        <v>274</v>
      </c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</row>
    <row r="7">
      <c r="D7" s="85" t="s">
        <v>379</v>
      </c>
      <c r="E7" s="76" t="s">
        <v>273</v>
      </c>
      <c r="F7" s="76" t="s">
        <v>275</v>
      </c>
      <c r="G7" s="76" t="s">
        <v>273</v>
      </c>
      <c r="H7" s="76" t="s">
        <v>273</v>
      </c>
      <c r="I7" s="76" t="s">
        <v>274</v>
      </c>
      <c r="J7" s="76" t="s">
        <v>273</v>
      </c>
      <c r="K7" s="76" t="s">
        <v>273</v>
      </c>
      <c r="L7" s="76" t="s">
        <v>274</v>
      </c>
      <c r="M7" s="76" t="s">
        <v>274</v>
      </c>
      <c r="N7" s="76" t="s">
        <v>274</v>
      </c>
      <c r="O7" s="76" t="s">
        <v>274</v>
      </c>
      <c r="P7" s="76" t="s">
        <v>275</v>
      </c>
      <c r="Q7" s="76" t="s">
        <v>274</v>
      </c>
      <c r="R7" s="76" t="s">
        <v>275</v>
      </c>
      <c r="S7" s="76"/>
      <c r="T7" s="76" t="s">
        <v>274</v>
      </c>
      <c r="U7" s="76" t="s">
        <v>274</v>
      </c>
      <c r="V7" s="76" t="s">
        <v>274</v>
      </c>
      <c r="W7" s="76" t="s">
        <v>274</v>
      </c>
      <c r="X7" s="76" t="s">
        <v>274</v>
      </c>
      <c r="Y7" s="76" t="s">
        <v>274</v>
      </c>
      <c r="Z7" s="76" t="s">
        <v>274</v>
      </c>
      <c r="AA7" s="76" t="s">
        <v>274</v>
      </c>
      <c r="AB7" s="76" t="s">
        <v>274</v>
      </c>
      <c r="AC7" s="76"/>
      <c r="AD7" s="76" t="s">
        <v>274</v>
      </c>
      <c r="AE7" s="76" t="s">
        <v>274</v>
      </c>
      <c r="AF7" s="76" t="s">
        <v>274</v>
      </c>
      <c r="AG7" s="76" t="s">
        <v>273</v>
      </c>
      <c r="AH7" s="76" t="s">
        <v>274</v>
      </c>
      <c r="AI7" s="76" t="s">
        <v>274</v>
      </c>
      <c r="AJ7" s="76" t="s">
        <v>274</v>
      </c>
      <c r="AK7" s="76" t="s">
        <v>274</v>
      </c>
      <c r="AL7" s="76" t="s">
        <v>274</v>
      </c>
      <c r="AM7" s="76" t="s">
        <v>274</v>
      </c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</row>
    <row r="8">
      <c r="B8" s="75" t="s">
        <v>376</v>
      </c>
      <c r="C8" s="75" t="s">
        <v>377</v>
      </c>
      <c r="D8" s="85" t="s">
        <v>380</v>
      </c>
      <c r="E8" s="76" t="s">
        <v>273</v>
      </c>
      <c r="F8" s="76" t="s">
        <v>275</v>
      </c>
      <c r="G8" s="76" t="s">
        <v>273</v>
      </c>
      <c r="H8" s="76" t="s">
        <v>274</v>
      </c>
      <c r="I8" s="76" t="s">
        <v>274</v>
      </c>
      <c r="J8" s="76" t="s">
        <v>273</v>
      </c>
      <c r="K8" s="76" t="s">
        <v>273</v>
      </c>
      <c r="L8" s="76" t="s">
        <v>274</v>
      </c>
      <c r="M8" s="76" t="s">
        <v>274</v>
      </c>
      <c r="N8" s="76" t="s">
        <v>274</v>
      </c>
      <c r="O8" s="76" t="s">
        <v>274</v>
      </c>
      <c r="P8" s="76" t="s">
        <v>275</v>
      </c>
      <c r="Q8" s="76" t="s">
        <v>274</v>
      </c>
      <c r="R8" s="76" t="s">
        <v>275</v>
      </c>
      <c r="S8" s="76" t="s">
        <v>274</v>
      </c>
      <c r="T8" s="76" t="s">
        <v>274</v>
      </c>
      <c r="U8" s="76" t="s">
        <v>274</v>
      </c>
      <c r="V8" s="76" t="s">
        <v>274</v>
      </c>
      <c r="W8" s="76" t="s">
        <v>274</v>
      </c>
      <c r="X8" s="76" t="s">
        <v>274</v>
      </c>
      <c r="Y8" s="76" t="s">
        <v>274</v>
      </c>
      <c r="Z8" s="76" t="s">
        <v>274</v>
      </c>
      <c r="AA8" s="76" t="s">
        <v>274</v>
      </c>
      <c r="AB8" s="76" t="s">
        <v>274</v>
      </c>
      <c r="AC8" s="76"/>
      <c r="AD8" s="76" t="s">
        <v>274</v>
      </c>
      <c r="AE8" s="76" t="s">
        <v>274</v>
      </c>
      <c r="AF8" s="76" t="s">
        <v>274</v>
      </c>
      <c r="AG8" s="76" t="s">
        <v>274</v>
      </c>
      <c r="AH8" s="76" t="s">
        <v>274</v>
      </c>
      <c r="AI8" s="76" t="s">
        <v>274</v>
      </c>
      <c r="AJ8" s="76" t="s">
        <v>274</v>
      </c>
      <c r="AK8" s="76" t="s">
        <v>274</v>
      </c>
      <c r="AL8" s="76" t="s">
        <v>274</v>
      </c>
      <c r="AM8" s="76" t="s">
        <v>274</v>
      </c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</row>
    <row r="9">
      <c r="B9" s="75"/>
      <c r="C9" s="75"/>
      <c r="D9" s="85" t="s">
        <v>381</v>
      </c>
      <c r="E9" s="76" t="s">
        <v>273</v>
      </c>
      <c r="F9" s="76" t="s">
        <v>275</v>
      </c>
      <c r="G9" s="76" t="s">
        <v>273</v>
      </c>
      <c r="H9" s="76" t="s">
        <v>274</v>
      </c>
      <c r="I9" s="76" t="s">
        <v>274</v>
      </c>
      <c r="J9" s="76" t="s">
        <v>273</v>
      </c>
      <c r="K9" s="76" t="s">
        <v>273</v>
      </c>
      <c r="L9" s="76" t="s">
        <v>274</v>
      </c>
      <c r="M9" s="76" t="s">
        <v>274</v>
      </c>
      <c r="N9" s="76" t="s">
        <v>274</v>
      </c>
      <c r="O9" s="76" t="s">
        <v>274</v>
      </c>
      <c r="P9" s="76" t="s">
        <v>275</v>
      </c>
      <c r="Q9" s="76" t="s">
        <v>274</v>
      </c>
      <c r="R9" s="76" t="s">
        <v>275</v>
      </c>
      <c r="S9" s="76" t="s">
        <v>274</v>
      </c>
      <c r="T9" s="76" t="s">
        <v>274</v>
      </c>
      <c r="U9" s="76" t="s">
        <v>274</v>
      </c>
      <c r="V9" s="76" t="s">
        <v>274</v>
      </c>
      <c r="W9" s="76" t="s">
        <v>274</v>
      </c>
      <c r="X9" s="76" t="s">
        <v>274</v>
      </c>
      <c r="Y9" s="76" t="s">
        <v>274</v>
      </c>
      <c r="Z9" s="76" t="s">
        <v>274</v>
      </c>
      <c r="AA9" s="76" t="s">
        <v>274</v>
      </c>
      <c r="AB9" s="76" t="s">
        <v>274</v>
      </c>
      <c r="AC9" s="76"/>
      <c r="AD9" s="76" t="s">
        <v>274</v>
      </c>
      <c r="AE9" s="76" t="s">
        <v>274</v>
      </c>
      <c r="AF9" s="76" t="s">
        <v>274</v>
      </c>
      <c r="AG9" s="76" t="s">
        <v>274</v>
      </c>
      <c r="AH9" s="76" t="s">
        <v>274</v>
      </c>
      <c r="AI9" s="76" t="s">
        <v>274</v>
      </c>
      <c r="AJ9" s="76" t="s">
        <v>274</v>
      </c>
      <c r="AK9" s="76" t="s">
        <v>274</v>
      </c>
      <c r="AL9" s="76" t="s">
        <v>274</v>
      </c>
      <c r="AM9" s="76" t="s">
        <v>274</v>
      </c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</row>
    <row r="10">
      <c r="A10" s="71" t="s">
        <v>382</v>
      </c>
      <c r="B10" s="75" t="s">
        <v>383</v>
      </c>
      <c r="C10" s="75" t="s">
        <v>384</v>
      </c>
      <c r="D10" s="75" t="s">
        <v>385</v>
      </c>
      <c r="E10" s="76" t="s">
        <v>273</v>
      </c>
      <c r="F10" s="76" t="s">
        <v>275</v>
      </c>
      <c r="G10" s="76" t="s">
        <v>273</v>
      </c>
      <c r="H10" s="76" t="s">
        <v>273</v>
      </c>
      <c r="I10" s="76" t="s">
        <v>273</v>
      </c>
      <c r="J10" s="76" t="s">
        <v>273</v>
      </c>
      <c r="K10" s="76" t="s">
        <v>273</v>
      </c>
      <c r="L10" s="76" t="s">
        <v>274</v>
      </c>
      <c r="M10" s="76" t="s">
        <v>274</v>
      </c>
      <c r="N10" s="76" t="s">
        <v>274</v>
      </c>
      <c r="O10" s="76" t="s">
        <v>274</v>
      </c>
      <c r="P10" s="76" t="s">
        <v>275</v>
      </c>
      <c r="Q10" s="76" t="s">
        <v>274</v>
      </c>
      <c r="R10" s="76" t="s">
        <v>275</v>
      </c>
      <c r="S10" s="76"/>
      <c r="T10" s="76" t="s">
        <v>274</v>
      </c>
      <c r="U10" s="76" t="s">
        <v>274</v>
      </c>
      <c r="V10" s="76" t="s">
        <v>274</v>
      </c>
      <c r="W10" s="76" t="s">
        <v>274</v>
      </c>
      <c r="X10" s="76" t="s">
        <v>274</v>
      </c>
      <c r="Y10" s="76" t="s">
        <v>274</v>
      </c>
      <c r="Z10" s="76" t="s">
        <v>274</v>
      </c>
      <c r="AA10" s="76" t="s">
        <v>274</v>
      </c>
      <c r="AB10" s="76" t="s">
        <v>274</v>
      </c>
      <c r="AC10" s="76"/>
      <c r="AD10" s="76" t="s">
        <v>274</v>
      </c>
      <c r="AE10" s="76" t="s">
        <v>274</v>
      </c>
      <c r="AF10" s="76" t="s">
        <v>274</v>
      </c>
      <c r="AG10" s="76" t="s">
        <v>273</v>
      </c>
      <c r="AH10" s="76" t="s">
        <v>274</v>
      </c>
      <c r="AI10" s="76" t="s">
        <v>274</v>
      </c>
      <c r="AJ10" s="76" t="s">
        <v>274</v>
      </c>
      <c r="AK10" s="76" t="s">
        <v>274</v>
      </c>
      <c r="AL10" s="76" t="s">
        <v>274</v>
      </c>
      <c r="AM10" s="76" t="s">
        <v>274</v>
      </c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</row>
    <row r="11">
      <c r="C11" s="75" t="s">
        <v>386</v>
      </c>
      <c r="D11" s="85" t="s">
        <v>387</v>
      </c>
      <c r="E11" s="76" t="s">
        <v>273</v>
      </c>
      <c r="F11" s="76" t="s">
        <v>275</v>
      </c>
      <c r="G11" s="76" t="s">
        <v>273</v>
      </c>
      <c r="H11" s="76" t="s">
        <v>273</v>
      </c>
      <c r="I11" s="76" t="s">
        <v>273</v>
      </c>
      <c r="J11" s="76" t="s">
        <v>273</v>
      </c>
      <c r="K11" s="76" t="s">
        <v>273</v>
      </c>
      <c r="L11" s="76" t="s">
        <v>274</v>
      </c>
      <c r="M11" s="76" t="s">
        <v>274</v>
      </c>
      <c r="N11" s="76" t="s">
        <v>274</v>
      </c>
      <c r="O11" s="76" t="s">
        <v>274</v>
      </c>
      <c r="P11" s="76" t="s">
        <v>275</v>
      </c>
      <c r="Q11" s="76" t="s">
        <v>274</v>
      </c>
      <c r="R11" s="76" t="s">
        <v>275</v>
      </c>
      <c r="S11" s="76"/>
      <c r="T11" s="76" t="s">
        <v>274</v>
      </c>
      <c r="U11" s="76" t="s">
        <v>274</v>
      </c>
      <c r="V11" s="76" t="s">
        <v>274</v>
      </c>
      <c r="W11" s="76" t="s">
        <v>274</v>
      </c>
      <c r="X11" s="76" t="s">
        <v>274</v>
      </c>
      <c r="Y11" s="76" t="s">
        <v>274</v>
      </c>
      <c r="Z11" s="76" t="s">
        <v>274</v>
      </c>
      <c r="AA11" s="76" t="s">
        <v>274</v>
      </c>
      <c r="AB11" s="76" t="s">
        <v>274</v>
      </c>
      <c r="AC11" s="76"/>
      <c r="AD11" s="76" t="s">
        <v>274</v>
      </c>
      <c r="AE11" s="76" t="s">
        <v>274</v>
      </c>
      <c r="AF11" s="76" t="s">
        <v>274</v>
      </c>
      <c r="AG11" s="76" t="s">
        <v>273</v>
      </c>
      <c r="AH11" s="76" t="s">
        <v>274</v>
      </c>
      <c r="AI11" s="76" t="s">
        <v>274</v>
      </c>
      <c r="AJ11" s="76" t="s">
        <v>274</v>
      </c>
      <c r="AK11" s="76" t="s">
        <v>274</v>
      </c>
      <c r="AL11" s="76" t="s">
        <v>274</v>
      </c>
      <c r="AM11" s="76" t="s">
        <v>274</v>
      </c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</row>
    <row r="12">
      <c r="A12" s="71" t="s">
        <v>388</v>
      </c>
      <c r="B12" s="75" t="s">
        <v>389</v>
      </c>
      <c r="C12" s="75" t="s">
        <v>390</v>
      </c>
      <c r="D12" s="75" t="s">
        <v>391</v>
      </c>
      <c r="E12" s="76" t="s">
        <v>273</v>
      </c>
      <c r="F12" s="76" t="s">
        <v>275</v>
      </c>
      <c r="G12" s="76" t="s">
        <v>273</v>
      </c>
      <c r="H12" s="76" t="s">
        <v>273</v>
      </c>
      <c r="I12" s="76" t="s">
        <v>273</v>
      </c>
      <c r="J12" s="76" t="s">
        <v>273</v>
      </c>
      <c r="K12" s="76" t="s">
        <v>273</v>
      </c>
      <c r="L12" s="76" t="s">
        <v>275</v>
      </c>
      <c r="M12" s="76" t="s">
        <v>275</v>
      </c>
      <c r="N12" s="76" t="s">
        <v>275</v>
      </c>
      <c r="O12" s="76" t="s">
        <v>275</v>
      </c>
      <c r="P12" s="76" t="s">
        <v>275</v>
      </c>
      <c r="Q12" s="76" t="s">
        <v>275</v>
      </c>
      <c r="R12" s="76" t="s">
        <v>275</v>
      </c>
      <c r="S12" s="76"/>
      <c r="T12" s="76" t="s">
        <v>274</v>
      </c>
      <c r="U12" s="76" t="s">
        <v>274</v>
      </c>
      <c r="V12" s="76" t="s">
        <v>274</v>
      </c>
      <c r="W12" s="76" t="s">
        <v>274</v>
      </c>
      <c r="X12" s="76" t="s">
        <v>274</v>
      </c>
      <c r="Y12" s="76" t="s">
        <v>274</v>
      </c>
      <c r="Z12" s="76" t="s">
        <v>274</v>
      </c>
      <c r="AA12" s="76" t="s">
        <v>274</v>
      </c>
      <c r="AB12" s="76" t="s">
        <v>274</v>
      </c>
      <c r="AC12" s="76"/>
      <c r="AD12" s="76" t="s">
        <v>274</v>
      </c>
      <c r="AE12" s="76" t="s">
        <v>274</v>
      </c>
      <c r="AF12" s="76" t="s">
        <v>274</v>
      </c>
      <c r="AG12" s="76" t="s">
        <v>273</v>
      </c>
      <c r="AH12" s="76" t="s">
        <v>274</v>
      </c>
      <c r="AI12" s="76" t="s">
        <v>274</v>
      </c>
      <c r="AJ12" s="76" t="s">
        <v>274</v>
      </c>
      <c r="AK12" s="76" t="s">
        <v>274</v>
      </c>
      <c r="AL12" s="76" t="s">
        <v>274</v>
      </c>
      <c r="AM12" s="76" t="s">
        <v>274</v>
      </c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</row>
    <row r="13">
      <c r="D13" s="85" t="s">
        <v>392</v>
      </c>
      <c r="E13" s="76" t="s">
        <v>273</v>
      </c>
      <c r="F13" s="76" t="s">
        <v>275</v>
      </c>
      <c r="G13" s="76" t="s">
        <v>273</v>
      </c>
      <c r="H13" s="76" t="s">
        <v>273</v>
      </c>
      <c r="I13" s="76" t="s">
        <v>273</v>
      </c>
      <c r="J13" s="76" t="s">
        <v>273</v>
      </c>
      <c r="K13" s="76" t="s">
        <v>273</v>
      </c>
      <c r="L13" s="76" t="s">
        <v>274</v>
      </c>
      <c r="M13" s="76" t="s">
        <v>274</v>
      </c>
      <c r="N13" s="76" t="s">
        <v>274</v>
      </c>
      <c r="O13" s="76" t="s">
        <v>274</v>
      </c>
      <c r="P13" s="76" t="s">
        <v>275</v>
      </c>
      <c r="Q13" s="76" t="s">
        <v>274</v>
      </c>
      <c r="R13" s="76" t="s">
        <v>275</v>
      </c>
      <c r="S13" s="76"/>
      <c r="T13" s="76" t="s">
        <v>274</v>
      </c>
      <c r="U13" s="76" t="s">
        <v>274</v>
      </c>
      <c r="V13" s="76" t="s">
        <v>274</v>
      </c>
      <c r="W13" s="76" t="s">
        <v>274</v>
      </c>
      <c r="X13" s="76" t="s">
        <v>274</v>
      </c>
      <c r="Y13" s="76" t="s">
        <v>274</v>
      </c>
      <c r="Z13" s="76" t="s">
        <v>274</v>
      </c>
      <c r="AA13" s="76" t="s">
        <v>274</v>
      </c>
      <c r="AB13" s="76" t="s">
        <v>274</v>
      </c>
      <c r="AC13" s="76"/>
      <c r="AD13" s="76" t="s">
        <v>274</v>
      </c>
      <c r="AE13" s="76" t="s">
        <v>274</v>
      </c>
      <c r="AF13" s="76" t="s">
        <v>274</v>
      </c>
      <c r="AG13" s="76" t="s">
        <v>273</v>
      </c>
      <c r="AH13" s="76" t="s">
        <v>274</v>
      </c>
      <c r="AI13" s="76" t="s">
        <v>274</v>
      </c>
      <c r="AJ13" s="76" t="s">
        <v>274</v>
      </c>
      <c r="AK13" s="76" t="s">
        <v>274</v>
      </c>
      <c r="AL13" s="76" t="s">
        <v>274</v>
      </c>
      <c r="AM13" s="76" t="s">
        <v>274</v>
      </c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</row>
    <row r="14">
      <c r="A14" s="71" t="s">
        <v>393</v>
      </c>
      <c r="B14" s="75" t="s">
        <v>394</v>
      </c>
      <c r="C14" s="75" t="s">
        <v>395</v>
      </c>
      <c r="D14" s="75" t="s">
        <v>396</v>
      </c>
      <c r="E14" s="76" t="s">
        <v>273</v>
      </c>
      <c r="F14" s="76" t="s">
        <v>275</v>
      </c>
      <c r="G14" s="76" t="s">
        <v>273</v>
      </c>
      <c r="H14" s="76" t="s">
        <v>273</v>
      </c>
      <c r="I14" s="76" t="s">
        <v>273</v>
      </c>
      <c r="J14" s="76" t="s">
        <v>273</v>
      </c>
      <c r="K14" s="76" t="s">
        <v>273</v>
      </c>
      <c r="L14" s="76" t="s">
        <v>274</v>
      </c>
      <c r="M14" s="76"/>
      <c r="N14" s="76" t="s">
        <v>274</v>
      </c>
      <c r="O14" s="76" t="s">
        <v>273</v>
      </c>
      <c r="P14" s="76" t="s">
        <v>275</v>
      </c>
      <c r="Q14" s="76" t="s">
        <v>273</v>
      </c>
      <c r="R14" s="76" t="s">
        <v>275</v>
      </c>
      <c r="S14" s="76"/>
      <c r="T14" s="76" t="s">
        <v>274</v>
      </c>
      <c r="U14" s="76" t="s">
        <v>274</v>
      </c>
      <c r="V14" s="76" t="s">
        <v>274</v>
      </c>
      <c r="W14" s="76" t="s">
        <v>274</v>
      </c>
      <c r="X14" s="76" t="s">
        <v>274</v>
      </c>
      <c r="Y14" s="76" t="s">
        <v>274</v>
      </c>
      <c r="Z14" s="76" t="s">
        <v>274</v>
      </c>
      <c r="AA14" s="76" t="s">
        <v>274</v>
      </c>
      <c r="AB14" s="76" t="s">
        <v>274</v>
      </c>
      <c r="AC14" s="76"/>
      <c r="AD14" s="76" t="s">
        <v>274</v>
      </c>
      <c r="AE14" s="76" t="s">
        <v>274</v>
      </c>
      <c r="AF14" s="76" t="s">
        <v>274</v>
      </c>
      <c r="AG14" s="76" t="s">
        <v>273</v>
      </c>
      <c r="AH14" s="76" t="s">
        <v>274</v>
      </c>
      <c r="AI14" s="76" t="s">
        <v>274</v>
      </c>
      <c r="AJ14" s="76" t="s">
        <v>274</v>
      </c>
      <c r="AK14" s="76" t="s">
        <v>274</v>
      </c>
      <c r="AL14" s="76" t="s">
        <v>274</v>
      </c>
      <c r="AM14" s="76" t="s">
        <v>274</v>
      </c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</row>
    <row r="15">
      <c r="A15" s="71" t="s">
        <v>397</v>
      </c>
      <c r="B15" s="75" t="s">
        <v>398</v>
      </c>
      <c r="C15" s="75" t="s">
        <v>399</v>
      </c>
      <c r="D15" s="85" t="s">
        <v>400</v>
      </c>
      <c r="E15" s="76" t="s">
        <v>273</v>
      </c>
      <c r="F15" s="76" t="s">
        <v>275</v>
      </c>
      <c r="G15" s="76" t="s">
        <v>273</v>
      </c>
      <c r="H15" s="76" t="s">
        <v>273</v>
      </c>
      <c r="I15" s="76" t="s">
        <v>273</v>
      </c>
      <c r="J15" s="76" t="s">
        <v>273</v>
      </c>
      <c r="K15" s="76" t="s">
        <v>273</v>
      </c>
      <c r="L15" s="76" t="s">
        <v>275</v>
      </c>
      <c r="M15" s="76"/>
      <c r="N15" s="76" t="s">
        <v>275</v>
      </c>
      <c r="O15" s="76" t="s">
        <v>275</v>
      </c>
      <c r="P15" s="76" t="s">
        <v>275</v>
      </c>
      <c r="Q15" s="76"/>
      <c r="R15" s="76" t="s">
        <v>275</v>
      </c>
      <c r="S15" s="76"/>
      <c r="T15" s="76" t="s">
        <v>274</v>
      </c>
      <c r="U15" s="76" t="s">
        <v>274</v>
      </c>
      <c r="V15" s="76" t="s">
        <v>274</v>
      </c>
      <c r="W15" s="76" t="s">
        <v>274</v>
      </c>
      <c r="X15" s="76" t="s">
        <v>274</v>
      </c>
      <c r="Y15" s="76" t="s">
        <v>274</v>
      </c>
      <c r="Z15" s="76" t="s">
        <v>274</v>
      </c>
      <c r="AA15" s="76" t="s">
        <v>274</v>
      </c>
      <c r="AB15" s="76" t="s">
        <v>274</v>
      </c>
      <c r="AC15" s="76"/>
      <c r="AD15" s="76" t="s">
        <v>274</v>
      </c>
      <c r="AE15" s="76" t="s">
        <v>274</v>
      </c>
      <c r="AF15" s="76" t="s">
        <v>274</v>
      </c>
      <c r="AG15" s="76" t="s">
        <v>273</v>
      </c>
      <c r="AH15" s="76" t="s">
        <v>274</v>
      </c>
      <c r="AI15" s="76" t="s">
        <v>274</v>
      </c>
      <c r="AJ15" s="76" t="s">
        <v>274</v>
      </c>
      <c r="AK15" s="76" t="s">
        <v>274</v>
      </c>
      <c r="AL15" s="76" t="s">
        <v>274</v>
      </c>
      <c r="AM15" s="76" t="s">
        <v>274</v>
      </c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</row>
    <row r="16">
      <c r="B16" s="75" t="s">
        <v>398</v>
      </c>
      <c r="C16" s="75" t="s">
        <v>401</v>
      </c>
      <c r="D16" s="85" t="s">
        <v>402</v>
      </c>
      <c r="E16" s="76" t="s">
        <v>273</v>
      </c>
      <c r="F16" s="76" t="s">
        <v>275</v>
      </c>
      <c r="G16" s="76" t="s">
        <v>273</v>
      </c>
      <c r="H16" s="76" t="s">
        <v>273</v>
      </c>
      <c r="I16" s="76" t="s">
        <v>273</v>
      </c>
      <c r="J16" s="76" t="s">
        <v>273</v>
      </c>
      <c r="K16" s="76" t="s">
        <v>273</v>
      </c>
      <c r="L16" s="76" t="s">
        <v>275</v>
      </c>
      <c r="M16" s="76"/>
      <c r="N16" s="76" t="s">
        <v>275</v>
      </c>
      <c r="O16" s="76" t="s">
        <v>275</v>
      </c>
      <c r="P16" s="76" t="s">
        <v>275</v>
      </c>
      <c r="Q16" s="76"/>
      <c r="R16" s="76" t="s">
        <v>275</v>
      </c>
      <c r="S16" s="76"/>
      <c r="T16" s="76" t="s">
        <v>274</v>
      </c>
      <c r="U16" s="76" t="s">
        <v>274</v>
      </c>
      <c r="V16" s="76" t="s">
        <v>274</v>
      </c>
      <c r="W16" s="76" t="s">
        <v>274</v>
      </c>
      <c r="X16" s="76" t="s">
        <v>274</v>
      </c>
      <c r="Y16" s="76" t="s">
        <v>274</v>
      </c>
      <c r="Z16" s="76" t="s">
        <v>274</v>
      </c>
      <c r="AA16" s="76" t="s">
        <v>274</v>
      </c>
      <c r="AB16" s="76" t="s">
        <v>274</v>
      </c>
      <c r="AC16" s="76"/>
      <c r="AD16" s="76" t="s">
        <v>274</v>
      </c>
      <c r="AE16" s="76" t="s">
        <v>274</v>
      </c>
      <c r="AF16" s="76" t="s">
        <v>274</v>
      </c>
      <c r="AG16" s="76" t="s">
        <v>273</v>
      </c>
      <c r="AH16" s="76" t="s">
        <v>274</v>
      </c>
      <c r="AI16" s="76" t="s">
        <v>274</v>
      </c>
      <c r="AJ16" s="76" t="s">
        <v>274</v>
      </c>
      <c r="AK16" s="76" t="s">
        <v>274</v>
      </c>
      <c r="AL16" s="76" t="s">
        <v>274</v>
      </c>
      <c r="AM16" s="76" t="s">
        <v>274</v>
      </c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</row>
    <row r="17">
      <c r="A17" s="86" t="s">
        <v>403</v>
      </c>
      <c r="B17" s="87" t="s">
        <v>404</v>
      </c>
      <c r="C17" s="87" t="s">
        <v>405</v>
      </c>
      <c r="D17" s="87" t="s">
        <v>406</v>
      </c>
      <c r="E17" s="88" t="s">
        <v>273</v>
      </c>
      <c r="F17" s="88" t="s">
        <v>275</v>
      </c>
      <c r="G17" s="88" t="s">
        <v>275</v>
      </c>
      <c r="H17" s="88" t="s">
        <v>275</v>
      </c>
      <c r="I17" s="88" t="s">
        <v>275</v>
      </c>
      <c r="J17" s="76" t="s">
        <v>273</v>
      </c>
      <c r="K17" s="76" t="s">
        <v>273</v>
      </c>
      <c r="L17" s="76" t="s">
        <v>275</v>
      </c>
      <c r="M17" s="76"/>
      <c r="N17" s="76" t="s">
        <v>275</v>
      </c>
      <c r="O17" s="76" t="s">
        <v>275</v>
      </c>
      <c r="P17" s="76" t="s">
        <v>275</v>
      </c>
      <c r="Q17" s="76"/>
      <c r="R17" s="76" t="s">
        <v>275</v>
      </c>
      <c r="S17" s="76"/>
      <c r="T17" s="76" t="s">
        <v>274</v>
      </c>
      <c r="U17" s="76" t="s">
        <v>273</v>
      </c>
      <c r="V17" s="76" t="s">
        <v>274</v>
      </c>
      <c r="W17" s="76" t="s">
        <v>274</v>
      </c>
      <c r="X17" s="76" t="s">
        <v>274</v>
      </c>
      <c r="Y17" s="76" t="s">
        <v>274</v>
      </c>
      <c r="Z17" s="76" t="s">
        <v>274</v>
      </c>
      <c r="AA17" s="76" t="s">
        <v>274</v>
      </c>
      <c r="AB17" s="76" t="s">
        <v>274</v>
      </c>
      <c r="AC17" s="76"/>
      <c r="AD17" s="76" t="s">
        <v>274</v>
      </c>
      <c r="AE17" s="76" t="s">
        <v>274</v>
      </c>
      <c r="AF17" s="76" t="s">
        <v>274</v>
      </c>
      <c r="AG17" s="76" t="s">
        <v>273</v>
      </c>
      <c r="AH17" s="76" t="s">
        <v>274</v>
      </c>
      <c r="AI17" s="76" t="s">
        <v>274</v>
      </c>
      <c r="AJ17" s="76" t="s">
        <v>274</v>
      </c>
      <c r="AK17" s="76" t="s">
        <v>274</v>
      </c>
      <c r="AL17" s="76" t="s">
        <v>274</v>
      </c>
      <c r="AM17" s="76" t="s">
        <v>274</v>
      </c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</row>
    <row r="18">
      <c r="C18" s="75" t="s">
        <v>407</v>
      </c>
      <c r="D18" s="85" t="s">
        <v>408</v>
      </c>
      <c r="E18" s="76" t="s">
        <v>273</v>
      </c>
      <c r="F18" s="76" t="s">
        <v>275</v>
      </c>
      <c r="G18" s="76" t="s">
        <v>275</v>
      </c>
      <c r="H18" s="76" t="s">
        <v>275</v>
      </c>
      <c r="I18" s="76" t="s">
        <v>275</v>
      </c>
      <c r="J18" s="76" t="s">
        <v>273</v>
      </c>
      <c r="K18" s="76" t="s">
        <v>273</v>
      </c>
      <c r="L18" s="76" t="s">
        <v>275</v>
      </c>
      <c r="M18" s="76"/>
      <c r="N18" s="76" t="s">
        <v>275</v>
      </c>
      <c r="O18" s="76" t="s">
        <v>275</v>
      </c>
      <c r="P18" s="76" t="s">
        <v>275</v>
      </c>
      <c r="Q18" s="76"/>
      <c r="R18" s="76" t="s">
        <v>275</v>
      </c>
      <c r="S18" s="76"/>
      <c r="T18" s="76" t="s">
        <v>274</v>
      </c>
      <c r="U18" s="76" t="s">
        <v>273</v>
      </c>
      <c r="V18" s="76" t="s">
        <v>274</v>
      </c>
      <c r="W18" s="76" t="s">
        <v>274</v>
      </c>
      <c r="X18" s="76" t="s">
        <v>274</v>
      </c>
      <c r="Y18" s="76" t="s">
        <v>274</v>
      </c>
      <c r="Z18" s="76" t="s">
        <v>274</v>
      </c>
      <c r="AA18" s="76" t="s">
        <v>274</v>
      </c>
      <c r="AB18" s="76" t="s">
        <v>274</v>
      </c>
      <c r="AC18" s="76"/>
      <c r="AD18" s="76" t="s">
        <v>274</v>
      </c>
      <c r="AE18" s="76" t="s">
        <v>274</v>
      </c>
      <c r="AF18" s="76" t="s">
        <v>274</v>
      </c>
      <c r="AG18" s="76" t="s">
        <v>273</v>
      </c>
      <c r="AH18" s="76" t="s">
        <v>274</v>
      </c>
      <c r="AI18" s="76" t="s">
        <v>274</v>
      </c>
      <c r="AJ18" s="76" t="s">
        <v>274</v>
      </c>
      <c r="AK18" s="76" t="s">
        <v>274</v>
      </c>
      <c r="AL18" s="76" t="s">
        <v>274</v>
      </c>
      <c r="AM18" s="76" t="s">
        <v>274</v>
      </c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</row>
    <row r="19">
      <c r="C19" s="75" t="s">
        <v>409</v>
      </c>
      <c r="D19" s="75" t="s">
        <v>410</v>
      </c>
      <c r="E19" s="76" t="s">
        <v>273</v>
      </c>
      <c r="F19" s="76" t="s">
        <v>275</v>
      </c>
      <c r="G19" s="76" t="s">
        <v>275</v>
      </c>
      <c r="H19" s="76" t="s">
        <v>275</v>
      </c>
      <c r="I19" s="76" t="s">
        <v>275</v>
      </c>
      <c r="J19" s="76" t="s">
        <v>273</v>
      </c>
      <c r="K19" s="76" t="s">
        <v>273</v>
      </c>
      <c r="L19" s="76" t="s">
        <v>275</v>
      </c>
      <c r="M19" s="76"/>
      <c r="N19" s="76" t="s">
        <v>275</v>
      </c>
      <c r="O19" s="76" t="s">
        <v>275</v>
      </c>
      <c r="P19" s="76" t="s">
        <v>275</v>
      </c>
      <c r="Q19" s="76"/>
      <c r="R19" s="76" t="s">
        <v>275</v>
      </c>
      <c r="S19" s="76"/>
      <c r="T19" s="76" t="s">
        <v>274</v>
      </c>
      <c r="U19" s="76" t="s">
        <v>273</v>
      </c>
      <c r="V19" s="76" t="s">
        <v>274</v>
      </c>
      <c r="W19" s="76" t="s">
        <v>274</v>
      </c>
      <c r="X19" s="76" t="s">
        <v>274</v>
      </c>
      <c r="Y19" s="76" t="s">
        <v>274</v>
      </c>
      <c r="Z19" s="76" t="s">
        <v>274</v>
      </c>
      <c r="AA19" s="76" t="s">
        <v>274</v>
      </c>
      <c r="AB19" s="76" t="s">
        <v>274</v>
      </c>
      <c r="AC19" s="76"/>
      <c r="AD19" s="76" t="s">
        <v>274</v>
      </c>
      <c r="AE19" s="76" t="s">
        <v>274</v>
      </c>
      <c r="AF19" s="76" t="s">
        <v>274</v>
      </c>
      <c r="AG19" s="76" t="s">
        <v>273</v>
      </c>
      <c r="AH19" s="76" t="s">
        <v>274</v>
      </c>
      <c r="AI19" s="76" t="s">
        <v>274</v>
      </c>
      <c r="AJ19" s="76" t="s">
        <v>274</v>
      </c>
      <c r="AK19" s="76" t="s">
        <v>274</v>
      </c>
      <c r="AL19" s="76" t="s">
        <v>274</v>
      </c>
      <c r="AM19" s="76" t="s">
        <v>274</v>
      </c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</row>
    <row r="20">
      <c r="B20" s="75" t="s">
        <v>411</v>
      </c>
      <c r="C20" s="75" t="s">
        <v>412</v>
      </c>
      <c r="D20" s="85" t="s">
        <v>413</v>
      </c>
      <c r="E20" s="76" t="s">
        <v>273</v>
      </c>
      <c r="F20" s="76" t="s">
        <v>275</v>
      </c>
      <c r="G20" s="76" t="s">
        <v>275</v>
      </c>
      <c r="H20" s="76" t="s">
        <v>275</v>
      </c>
      <c r="I20" s="76" t="s">
        <v>275</v>
      </c>
      <c r="J20" s="76" t="s">
        <v>273</v>
      </c>
      <c r="K20" s="76" t="s">
        <v>273</v>
      </c>
      <c r="L20" s="76" t="s">
        <v>275</v>
      </c>
      <c r="M20" s="76"/>
      <c r="N20" s="76" t="s">
        <v>275</v>
      </c>
      <c r="O20" s="76" t="s">
        <v>275</v>
      </c>
      <c r="P20" s="76" t="s">
        <v>275</v>
      </c>
      <c r="Q20" s="76"/>
      <c r="R20" s="76" t="s">
        <v>275</v>
      </c>
      <c r="S20" s="76"/>
      <c r="T20" s="76" t="s">
        <v>274</v>
      </c>
      <c r="U20" s="76" t="s">
        <v>273</v>
      </c>
      <c r="V20" s="76" t="s">
        <v>274</v>
      </c>
      <c r="W20" s="76" t="s">
        <v>274</v>
      </c>
      <c r="X20" s="76" t="s">
        <v>274</v>
      </c>
      <c r="Y20" s="76" t="s">
        <v>274</v>
      </c>
      <c r="Z20" s="76" t="s">
        <v>274</v>
      </c>
      <c r="AA20" s="76" t="s">
        <v>274</v>
      </c>
      <c r="AB20" s="76" t="s">
        <v>274</v>
      </c>
      <c r="AC20" s="76"/>
      <c r="AD20" s="76" t="s">
        <v>274</v>
      </c>
      <c r="AE20" s="76" t="s">
        <v>274</v>
      </c>
      <c r="AF20" s="76" t="s">
        <v>274</v>
      </c>
      <c r="AG20" s="76" t="s">
        <v>273</v>
      </c>
      <c r="AH20" s="76" t="s">
        <v>274</v>
      </c>
      <c r="AI20" s="76" t="s">
        <v>274</v>
      </c>
      <c r="AJ20" s="76" t="s">
        <v>274</v>
      </c>
      <c r="AK20" s="76" t="s">
        <v>274</v>
      </c>
      <c r="AL20" s="76" t="s">
        <v>274</v>
      </c>
      <c r="AM20" s="76" t="s">
        <v>274</v>
      </c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</row>
    <row r="21">
      <c r="C21" s="75" t="s">
        <v>414</v>
      </c>
      <c r="D21" s="85" t="s">
        <v>415</v>
      </c>
      <c r="E21" s="76" t="s">
        <v>273</v>
      </c>
      <c r="F21" s="76" t="s">
        <v>275</v>
      </c>
      <c r="G21" s="76" t="s">
        <v>275</v>
      </c>
      <c r="H21" s="76" t="s">
        <v>275</v>
      </c>
      <c r="I21" s="76" t="s">
        <v>275</v>
      </c>
      <c r="J21" s="76" t="s">
        <v>273</v>
      </c>
      <c r="K21" s="76" t="s">
        <v>273</v>
      </c>
      <c r="L21" s="76" t="s">
        <v>275</v>
      </c>
      <c r="M21" s="76"/>
      <c r="N21" s="76" t="s">
        <v>275</v>
      </c>
      <c r="O21" s="76" t="s">
        <v>275</v>
      </c>
      <c r="P21" s="76" t="s">
        <v>275</v>
      </c>
      <c r="Q21" s="76"/>
      <c r="R21" s="76" t="s">
        <v>275</v>
      </c>
      <c r="S21" s="76"/>
      <c r="T21" s="76" t="s">
        <v>274</v>
      </c>
      <c r="U21" s="76" t="s">
        <v>273</v>
      </c>
      <c r="V21" s="76" t="s">
        <v>274</v>
      </c>
      <c r="W21" s="76" t="s">
        <v>274</v>
      </c>
      <c r="X21" s="76" t="s">
        <v>274</v>
      </c>
      <c r="Y21" s="76" t="s">
        <v>274</v>
      </c>
      <c r="Z21" s="76" t="s">
        <v>274</v>
      </c>
      <c r="AA21" s="76" t="s">
        <v>274</v>
      </c>
      <c r="AB21" s="76" t="s">
        <v>274</v>
      </c>
      <c r="AC21" s="76"/>
      <c r="AD21" s="76" t="s">
        <v>274</v>
      </c>
      <c r="AE21" s="76" t="s">
        <v>274</v>
      </c>
      <c r="AF21" s="76" t="s">
        <v>274</v>
      </c>
      <c r="AG21" s="76" t="s">
        <v>273</v>
      </c>
      <c r="AH21" s="76" t="s">
        <v>274</v>
      </c>
      <c r="AI21" s="76" t="s">
        <v>274</v>
      </c>
      <c r="AJ21" s="76" t="s">
        <v>274</v>
      </c>
      <c r="AK21" s="76" t="s">
        <v>274</v>
      </c>
      <c r="AL21" s="76" t="s">
        <v>274</v>
      </c>
      <c r="AM21" s="76" t="s">
        <v>274</v>
      </c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</row>
    <row r="22">
      <c r="C22" s="75" t="s">
        <v>416</v>
      </c>
      <c r="D22" s="85" t="s">
        <v>417</v>
      </c>
      <c r="E22" s="76" t="s">
        <v>273</v>
      </c>
      <c r="F22" s="76" t="s">
        <v>275</v>
      </c>
      <c r="G22" s="76" t="s">
        <v>275</v>
      </c>
      <c r="H22" s="76" t="s">
        <v>275</v>
      </c>
      <c r="I22" s="76" t="s">
        <v>275</v>
      </c>
      <c r="J22" s="76" t="s">
        <v>273</v>
      </c>
      <c r="K22" s="76" t="s">
        <v>273</v>
      </c>
      <c r="L22" s="76" t="s">
        <v>275</v>
      </c>
      <c r="M22" s="76"/>
      <c r="N22" s="76" t="s">
        <v>275</v>
      </c>
      <c r="O22" s="76" t="s">
        <v>275</v>
      </c>
      <c r="P22" s="76" t="s">
        <v>275</v>
      </c>
      <c r="Q22" s="76"/>
      <c r="R22" s="76" t="s">
        <v>275</v>
      </c>
      <c r="S22" s="76"/>
      <c r="T22" s="76" t="s">
        <v>275</v>
      </c>
      <c r="U22" s="76" t="s">
        <v>275</v>
      </c>
      <c r="V22" s="76" t="s">
        <v>275</v>
      </c>
      <c r="W22" s="76" t="s">
        <v>275</v>
      </c>
      <c r="X22" s="76" t="s">
        <v>275</v>
      </c>
      <c r="Y22" s="76" t="s">
        <v>275</v>
      </c>
      <c r="Z22" s="76" t="s">
        <v>275</v>
      </c>
      <c r="AA22" s="76" t="s">
        <v>275</v>
      </c>
      <c r="AB22" s="76" t="s">
        <v>275</v>
      </c>
      <c r="AC22" s="76"/>
      <c r="AD22" s="76" t="s">
        <v>275</v>
      </c>
      <c r="AE22" s="76" t="s">
        <v>273</v>
      </c>
      <c r="AF22" s="76" t="s">
        <v>274</v>
      </c>
      <c r="AG22" s="76" t="s">
        <v>273</v>
      </c>
      <c r="AH22" s="76" t="s">
        <v>274</v>
      </c>
      <c r="AI22" s="76" t="s">
        <v>274</v>
      </c>
      <c r="AJ22" s="76" t="s">
        <v>274</v>
      </c>
      <c r="AK22" s="76" t="s">
        <v>274</v>
      </c>
      <c r="AL22" s="76" t="s">
        <v>274</v>
      </c>
      <c r="AM22" s="76" t="s">
        <v>274</v>
      </c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</row>
    <row r="23">
      <c r="C23" s="75" t="s">
        <v>418</v>
      </c>
      <c r="D23" s="85" t="s">
        <v>419</v>
      </c>
      <c r="E23" s="76" t="s">
        <v>273</v>
      </c>
      <c r="F23" s="76" t="s">
        <v>275</v>
      </c>
      <c r="G23" s="76" t="s">
        <v>275</v>
      </c>
      <c r="H23" s="76" t="s">
        <v>275</v>
      </c>
      <c r="I23" s="76" t="s">
        <v>275</v>
      </c>
      <c r="J23" s="76" t="s">
        <v>273</v>
      </c>
      <c r="K23" s="76" t="s">
        <v>273</v>
      </c>
      <c r="L23" s="76" t="s">
        <v>275</v>
      </c>
      <c r="M23" s="76"/>
      <c r="N23" s="76" t="s">
        <v>275</v>
      </c>
      <c r="O23" s="76" t="s">
        <v>275</v>
      </c>
      <c r="P23" s="76" t="s">
        <v>275</v>
      </c>
      <c r="Q23" s="76"/>
      <c r="R23" s="76" t="s">
        <v>275</v>
      </c>
      <c r="S23" s="76"/>
      <c r="T23" s="76" t="s">
        <v>274</v>
      </c>
      <c r="U23" s="76" t="s">
        <v>273</v>
      </c>
      <c r="V23" s="76" t="s">
        <v>274</v>
      </c>
      <c r="W23" s="76" t="s">
        <v>274</v>
      </c>
      <c r="X23" s="76" t="s">
        <v>274</v>
      </c>
      <c r="Y23" s="76" t="s">
        <v>274</v>
      </c>
      <c r="Z23" s="76" t="s">
        <v>274</v>
      </c>
      <c r="AA23" s="76" t="s">
        <v>274</v>
      </c>
      <c r="AB23" s="76" t="s">
        <v>274</v>
      </c>
      <c r="AC23" s="76"/>
      <c r="AD23" s="76" t="s">
        <v>274</v>
      </c>
      <c r="AE23" s="76" t="s">
        <v>274</v>
      </c>
      <c r="AF23" s="76" t="s">
        <v>274</v>
      </c>
      <c r="AG23" s="76" t="s">
        <v>273</v>
      </c>
      <c r="AH23" s="76" t="s">
        <v>274</v>
      </c>
      <c r="AI23" s="76" t="s">
        <v>274</v>
      </c>
      <c r="AJ23" s="76" t="s">
        <v>274</v>
      </c>
      <c r="AK23" s="76" t="s">
        <v>274</v>
      </c>
      <c r="AL23" s="76" t="s">
        <v>274</v>
      </c>
      <c r="AM23" s="76" t="s">
        <v>274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</row>
    <row r="24">
      <c r="B24" s="75" t="s">
        <v>420</v>
      </c>
      <c r="C24" s="75" t="s">
        <v>421</v>
      </c>
      <c r="D24" s="85" t="s">
        <v>422</v>
      </c>
      <c r="E24" s="76" t="s">
        <v>273</v>
      </c>
      <c r="F24" s="76" t="s">
        <v>275</v>
      </c>
      <c r="G24" s="76" t="s">
        <v>275</v>
      </c>
      <c r="H24" s="76" t="s">
        <v>275</v>
      </c>
      <c r="I24" s="76" t="s">
        <v>275</v>
      </c>
      <c r="J24" s="76" t="s">
        <v>273</v>
      </c>
      <c r="K24" s="76" t="s">
        <v>273</v>
      </c>
      <c r="L24" s="76" t="s">
        <v>275</v>
      </c>
      <c r="M24" s="76"/>
      <c r="N24" s="76" t="s">
        <v>275</v>
      </c>
      <c r="O24" s="76" t="s">
        <v>275</v>
      </c>
      <c r="P24" s="76" t="s">
        <v>275</v>
      </c>
      <c r="Q24" s="76"/>
      <c r="R24" s="76" t="s">
        <v>275</v>
      </c>
      <c r="S24" s="76"/>
      <c r="T24" s="76" t="s">
        <v>275</v>
      </c>
      <c r="U24" s="76" t="s">
        <v>275</v>
      </c>
      <c r="V24" s="76" t="s">
        <v>275</v>
      </c>
      <c r="W24" s="76" t="s">
        <v>275</v>
      </c>
      <c r="X24" s="76" t="s">
        <v>275</v>
      </c>
      <c r="Y24" s="76" t="s">
        <v>275</v>
      </c>
      <c r="Z24" s="76" t="s">
        <v>275</v>
      </c>
      <c r="AA24" s="76" t="s">
        <v>275</v>
      </c>
      <c r="AB24" s="76" t="s">
        <v>275</v>
      </c>
      <c r="AC24" s="76"/>
      <c r="AD24" s="76" t="s">
        <v>275</v>
      </c>
      <c r="AE24" s="76" t="s">
        <v>275</v>
      </c>
      <c r="AF24" s="76" t="s">
        <v>275</v>
      </c>
      <c r="AG24" s="76" t="s">
        <v>275</v>
      </c>
      <c r="AH24" s="76" t="s">
        <v>275</v>
      </c>
      <c r="AI24" s="76" t="s">
        <v>275</v>
      </c>
      <c r="AJ24" s="76" t="s">
        <v>275</v>
      </c>
      <c r="AK24" s="76" t="s">
        <v>275</v>
      </c>
      <c r="AL24" s="76" t="s">
        <v>275</v>
      </c>
      <c r="AM24" s="76" t="s">
        <v>275</v>
      </c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</row>
    <row r="25">
      <c r="C25" s="75" t="s">
        <v>423</v>
      </c>
      <c r="D25" s="85" t="s">
        <v>424</v>
      </c>
      <c r="E25" s="76" t="s">
        <v>275</v>
      </c>
      <c r="F25" s="76" t="s">
        <v>275</v>
      </c>
      <c r="G25" s="76" t="s">
        <v>275</v>
      </c>
      <c r="H25" s="76" t="s">
        <v>275</v>
      </c>
      <c r="I25" s="76" t="s">
        <v>275</v>
      </c>
      <c r="J25" s="76" t="s">
        <v>275</v>
      </c>
      <c r="K25" s="76" t="s">
        <v>275</v>
      </c>
      <c r="L25" s="76" t="s">
        <v>275</v>
      </c>
      <c r="M25" s="76" t="s">
        <v>275</v>
      </c>
      <c r="N25" s="76" t="s">
        <v>275</v>
      </c>
      <c r="O25" s="76" t="s">
        <v>275</v>
      </c>
      <c r="P25" s="76" t="s">
        <v>275</v>
      </c>
      <c r="Q25" s="76" t="s">
        <v>275</v>
      </c>
      <c r="R25" s="76" t="s">
        <v>275</v>
      </c>
      <c r="S25" s="76" t="s">
        <v>275</v>
      </c>
      <c r="T25" s="76" t="s">
        <v>275</v>
      </c>
      <c r="U25" s="76" t="s">
        <v>275</v>
      </c>
      <c r="V25" s="76" t="s">
        <v>275</v>
      </c>
      <c r="W25" s="76" t="s">
        <v>275</v>
      </c>
      <c r="X25" s="76" t="s">
        <v>275</v>
      </c>
      <c r="Y25" s="76" t="s">
        <v>275</v>
      </c>
      <c r="Z25" s="76" t="s">
        <v>275</v>
      </c>
      <c r="AA25" s="76" t="s">
        <v>275</v>
      </c>
      <c r="AB25" s="76" t="s">
        <v>275</v>
      </c>
      <c r="AC25" s="76" t="s">
        <v>275</v>
      </c>
      <c r="AD25" s="76" t="s">
        <v>275</v>
      </c>
      <c r="AE25" s="76" t="s">
        <v>275</v>
      </c>
      <c r="AF25" s="76" t="s">
        <v>275</v>
      </c>
      <c r="AG25" s="76" t="s">
        <v>275</v>
      </c>
      <c r="AH25" s="76" t="s">
        <v>275</v>
      </c>
      <c r="AI25" s="76" t="s">
        <v>275</v>
      </c>
      <c r="AJ25" s="76" t="s">
        <v>275</v>
      </c>
      <c r="AK25" s="76" t="s">
        <v>275</v>
      </c>
      <c r="AL25" s="76" t="s">
        <v>275</v>
      </c>
      <c r="AM25" s="76" t="s">
        <v>275</v>
      </c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</row>
    <row r="26">
      <c r="C26" s="75" t="s">
        <v>425</v>
      </c>
      <c r="D26" s="85" t="s">
        <v>426</v>
      </c>
      <c r="E26" s="76" t="s">
        <v>273</v>
      </c>
      <c r="F26" s="76" t="s">
        <v>275</v>
      </c>
      <c r="G26" s="76" t="s">
        <v>275</v>
      </c>
      <c r="H26" s="76" t="s">
        <v>275</v>
      </c>
      <c r="I26" s="76" t="s">
        <v>275</v>
      </c>
      <c r="J26" s="76" t="s">
        <v>273</v>
      </c>
      <c r="K26" s="76" t="s">
        <v>273</v>
      </c>
      <c r="L26" s="76" t="s">
        <v>275</v>
      </c>
      <c r="M26" s="76"/>
      <c r="N26" s="76" t="s">
        <v>275</v>
      </c>
      <c r="O26" s="76" t="s">
        <v>275</v>
      </c>
      <c r="P26" s="76" t="s">
        <v>275</v>
      </c>
      <c r="Q26" s="76"/>
      <c r="R26" s="76" t="s">
        <v>275</v>
      </c>
      <c r="S26" s="76"/>
      <c r="T26" s="76" t="s">
        <v>275</v>
      </c>
      <c r="U26" s="76" t="s">
        <v>275</v>
      </c>
      <c r="V26" s="76" t="s">
        <v>275</v>
      </c>
      <c r="W26" s="76" t="s">
        <v>275</v>
      </c>
      <c r="X26" s="76" t="s">
        <v>275</v>
      </c>
      <c r="Y26" s="76" t="s">
        <v>275</v>
      </c>
      <c r="Z26" s="76" t="s">
        <v>275</v>
      </c>
      <c r="AA26" s="76" t="s">
        <v>275</v>
      </c>
      <c r="AB26" s="76" t="s">
        <v>275</v>
      </c>
      <c r="AC26" s="76"/>
      <c r="AD26" s="76" t="s">
        <v>275</v>
      </c>
      <c r="AE26" s="76" t="s">
        <v>275</v>
      </c>
      <c r="AF26" s="76" t="s">
        <v>275</v>
      </c>
      <c r="AG26" s="76" t="s">
        <v>275</v>
      </c>
      <c r="AH26" s="76" t="s">
        <v>275</v>
      </c>
      <c r="AI26" s="76" t="s">
        <v>275</v>
      </c>
      <c r="AJ26" s="76" t="s">
        <v>275</v>
      </c>
      <c r="AK26" s="76" t="s">
        <v>275</v>
      </c>
      <c r="AL26" s="76" t="s">
        <v>275</v>
      </c>
      <c r="AM26" s="76" t="s">
        <v>275</v>
      </c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</row>
    <row r="27">
      <c r="B27" s="75" t="s">
        <v>427</v>
      </c>
      <c r="C27" s="75" t="s">
        <v>428</v>
      </c>
      <c r="D27" s="85" t="s">
        <v>429</v>
      </c>
      <c r="E27" s="76" t="s">
        <v>273</v>
      </c>
      <c r="F27" s="76" t="s">
        <v>275</v>
      </c>
      <c r="G27" s="76" t="s">
        <v>275</v>
      </c>
      <c r="H27" s="76" t="s">
        <v>275</v>
      </c>
      <c r="I27" s="76" t="s">
        <v>275</v>
      </c>
      <c r="J27" s="76" t="s">
        <v>273</v>
      </c>
      <c r="K27" s="76" t="s">
        <v>273</v>
      </c>
      <c r="L27" s="76" t="s">
        <v>275</v>
      </c>
      <c r="M27" s="76"/>
      <c r="N27" s="76" t="s">
        <v>275</v>
      </c>
      <c r="O27" s="76" t="s">
        <v>275</v>
      </c>
      <c r="P27" s="76" t="s">
        <v>275</v>
      </c>
      <c r="Q27" s="76"/>
      <c r="R27" s="76" t="s">
        <v>275</v>
      </c>
      <c r="S27" s="76"/>
      <c r="T27" s="76" t="s">
        <v>430</v>
      </c>
      <c r="U27" s="76" t="s">
        <v>275</v>
      </c>
      <c r="V27" s="76" t="s">
        <v>275</v>
      </c>
      <c r="W27" s="76" t="s">
        <v>275</v>
      </c>
      <c r="X27" s="76" t="s">
        <v>275</v>
      </c>
      <c r="Y27" s="76" t="s">
        <v>275</v>
      </c>
      <c r="Z27" s="76" t="s">
        <v>275</v>
      </c>
      <c r="AA27" s="76" t="s">
        <v>275</v>
      </c>
      <c r="AB27" s="76" t="s">
        <v>275</v>
      </c>
      <c r="AC27" s="76"/>
      <c r="AD27" s="76" t="s">
        <v>275</v>
      </c>
      <c r="AE27" s="76" t="s">
        <v>274</v>
      </c>
      <c r="AF27" s="76" t="s">
        <v>274</v>
      </c>
      <c r="AG27" s="76" t="s">
        <v>273</v>
      </c>
      <c r="AH27" s="76" t="s">
        <v>274</v>
      </c>
      <c r="AI27" s="76" t="s">
        <v>274</v>
      </c>
      <c r="AJ27" s="76" t="s">
        <v>274</v>
      </c>
      <c r="AK27" s="76" t="s">
        <v>274</v>
      </c>
      <c r="AL27" s="76" t="s">
        <v>274</v>
      </c>
      <c r="AM27" s="76" t="s">
        <v>274</v>
      </c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</row>
    <row r="28">
      <c r="A28" s="71" t="s">
        <v>431</v>
      </c>
      <c r="B28" s="75" t="s">
        <v>432</v>
      </c>
      <c r="C28" s="75" t="s">
        <v>433</v>
      </c>
      <c r="D28" s="85" t="s">
        <v>434</v>
      </c>
      <c r="E28" s="76" t="s">
        <v>273</v>
      </c>
      <c r="F28" s="76" t="s">
        <v>273</v>
      </c>
      <c r="G28" s="76" t="s">
        <v>273</v>
      </c>
      <c r="H28" s="76" t="s">
        <v>273</v>
      </c>
      <c r="I28" s="76" t="s">
        <v>273</v>
      </c>
      <c r="J28" s="76" t="s">
        <v>273</v>
      </c>
      <c r="K28" s="76" t="s">
        <v>273</v>
      </c>
      <c r="L28" s="76" t="s">
        <v>273</v>
      </c>
      <c r="M28" s="76" t="s">
        <v>273</v>
      </c>
      <c r="N28" s="76" t="s">
        <v>273</v>
      </c>
      <c r="O28" s="76" t="s">
        <v>273</v>
      </c>
      <c r="P28" s="76" t="s">
        <v>273</v>
      </c>
      <c r="Q28" s="76" t="s">
        <v>273</v>
      </c>
      <c r="R28" s="76" t="s">
        <v>273</v>
      </c>
      <c r="S28" s="76" t="s">
        <v>273</v>
      </c>
      <c r="T28" s="76" t="s">
        <v>273</v>
      </c>
      <c r="U28" s="76" t="s">
        <v>273</v>
      </c>
      <c r="V28" s="76" t="s">
        <v>274</v>
      </c>
      <c r="W28" s="76" t="s">
        <v>274</v>
      </c>
      <c r="X28" s="76" t="s">
        <v>274</v>
      </c>
      <c r="Y28" s="76" t="s">
        <v>274</v>
      </c>
      <c r="Z28" s="76" t="s">
        <v>274</v>
      </c>
      <c r="AA28" s="76" t="s">
        <v>274</v>
      </c>
      <c r="AB28" s="76" t="s">
        <v>274</v>
      </c>
      <c r="AC28" s="76" t="s">
        <v>274</v>
      </c>
      <c r="AD28" s="76" t="s">
        <v>274</v>
      </c>
      <c r="AE28" s="76" t="s">
        <v>274</v>
      </c>
      <c r="AF28" s="76" t="s">
        <v>274</v>
      </c>
      <c r="AG28" s="76" t="s">
        <v>274</v>
      </c>
      <c r="AH28" s="76" t="s">
        <v>274</v>
      </c>
      <c r="AI28" s="76" t="s">
        <v>274</v>
      </c>
      <c r="AJ28" s="76" t="s">
        <v>274</v>
      </c>
      <c r="AK28" s="76" t="s">
        <v>274</v>
      </c>
      <c r="AL28" s="76" t="s">
        <v>274</v>
      </c>
      <c r="AM28" s="76" t="s">
        <v>274</v>
      </c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</row>
    <row r="29" ht="37.5" customHeight="1">
      <c r="Z29" s="76" t="s">
        <v>274</v>
      </c>
      <c r="AA29" s="76" t="s">
        <v>274</v>
      </c>
      <c r="AB29" s="76" t="s">
        <v>274</v>
      </c>
      <c r="AC29" s="76" t="s">
        <v>274</v>
      </c>
      <c r="AD29" s="76" t="s">
        <v>274</v>
      </c>
      <c r="AE29" s="76" t="s">
        <v>274</v>
      </c>
      <c r="AF29" s="76" t="s">
        <v>274</v>
      </c>
      <c r="AG29" s="76" t="s">
        <v>274</v>
      </c>
      <c r="AH29" s="76" t="s">
        <v>274</v>
      </c>
      <c r="AI29" s="76" t="s">
        <v>274</v>
      </c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</row>
    <row r="30">
      <c r="A30" s="71" t="s">
        <v>435</v>
      </c>
      <c r="B30" s="75" t="s">
        <v>436</v>
      </c>
      <c r="C30" s="75" t="s">
        <v>437</v>
      </c>
      <c r="D30" s="75" t="s">
        <v>438</v>
      </c>
      <c r="E30" s="76" t="s">
        <v>273</v>
      </c>
      <c r="F30" s="76" t="s">
        <v>275</v>
      </c>
      <c r="G30" s="76" t="s">
        <v>275</v>
      </c>
      <c r="H30" s="76" t="s">
        <v>275</v>
      </c>
      <c r="I30" s="76" t="s">
        <v>275</v>
      </c>
      <c r="J30" s="76" t="s">
        <v>273</v>
      </c>
      <c r="K30" s="76" t="s">
        <v>273</v>
      </c>
      <c r="L30" s="76" t="s">
        <v>275</v>
      </c>
      <c r="M30" s="76"/>
      <c r="N30" s="76" t="s">
        <v>275</v>
      </c>
      <c r="O30" s="76" t="s">
        <v>275</v>
      </c>
      <c r="P30" s="76" t="s">
        <v>275</v>
      </c>
      <c r="Q30" s="76"/>
      <c r="R30" s="76" t="s">
        <v>275</v>
      </c>
      <c r="S30" s="76"/>
      <c r="T30" s="76" t="s">
        <v>275</v>
      </c>
      <c r="U30" s="76" t="s">
        <v>275</v>
      </c>
      <c r="V30" s="76" t="s">
        <v>273</v>
      </c>
      <c r="W30" s="76" t="s">
        <v>273</v>
      </c>
      <c r="X30" s="76" t="s">
        <v>274</v>
      </c>
      <c r="Y30" s="76" t="s">
        <v>274</v>
      </c>
      <c r="Z30" s="76" t="s">
        <v>274</v>
      </c>
      <c r="AA30" s="76" t="s">
        <v>274</v>
      </c>
      <c r="AB30" s="76" t="s">
        <v>274</v>
      </c>
      <c r="AC30" s="76"/>
      <c r="AD30" s="76" t="s">
        <v>274</v>
      </c>
      <c r="AE30" s="76" t="s">
        <v>274</v>
      </c>
      <c r="AF30" s="76" t="s">
        <v>274</v>
      </c>
      <c r="AG30" s="76" t="s">
        <v>273</v>
      </c>
      <c r="AH30" s="76" t="s">
        <v>274</v>
      </c>
      <c r="AI30" s="76" t="s">
        <v>274</v>
      </c>
      <c r="AJ30" s="76" t="s">
        <v>274</v>
      </c>
      <c r="AK30" s="76" t="s">
        <v>274</v>
      </c>
      <c r="AL30" s="76" t="s">
        <v>274</v>
      </c>
      <c r="AM30" s="76" t="s">
        <v>274</v>
      </c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</row>
    <row r="31">
      <c r="D31" s="75" t="s">
        <v>439</v>
      </c>
      <c r="E31" s="76" t="s">
        <v>273</v>
      </c>
      <c r="F31" s="76" t="s">
        <v>275</v>
      </c>
      <c r="G31" s="76" t="s">
        <v>275</v>
      </c>
      <c r="H31" s="76" t="s">
        <v>275</v>
      </c>
      <c r="I31" s="76" t="s">
        <v>275</v>
      </c>
      <c r="J31" s="76" t="s">
        <v>273</v>
      </c>
      <c r="K31" s="76" t="s">
        <v>273</v>
      </c>
      <c r="L31" s="76" t="s">
        <v>275</v>
      </c>
      <c r="M31" s="76"/>
      <c r="N31" s="76" t="s">
        <v>275</v>
      </c>
      <c r="O31" s="76" t="s">
        <v>275</v>
      </c>
      <c r="P31" s="76" t="s">
        <v>275</v>
      </c>
      <c r="Q31" s="76"/>
      <c r="R31" s="76" t="s">
        <v>275</v>
      </c>
      <c r="S31" s="76"/>
      <c r="T31" s="76" t="s">
        <v>275</v>
      </c>
      <c r="U31" s="76" t="s">
        <v>275</v>
      </c>
      <c r="V31" s="76" t="s">
        <v>275</v>
      </c>
      <c r="W31" s="76" t="s">
        <v>275</v>
      </c>
      <c r="X31" s="76" t="s">
        <v>275</v>
      </c>
      <c r="Y31" s="76" t="s">
        <v>275</v>
      </c>
      <c r="Z31" s="76" t="s">
        <v>275</v>
      </c>
      <c r="AA31" s="76" t="s">
        <v>275</v>
      </c>
      <c r="AB31" s="76" t="s">
        <v>275</v>
      </c>
      <c r="AC31" s="76"/>
      <c r="AD31" s="76" t="s">
        <v>275</v>
      </c>
      <c r="AE31" s="76" t="s">
        <v>274</v>
      </c>
      <c r="AF31" s="76" t="s">
        <v>274</v>
      </c>
      <c r="AG31" s="76" t="s">
        <v>273</v>
      </c>
      <c r="AH31" s="76" t="s">
        <v>274</v>
      </c>
      <c r="AI31" s="76" t="s">
        <v>274</v>
      </c>
      <c r="AJ31" s="76" t="s">
        <v>274</v>
      </c>
      <c r="AK31" s="76" t="s">
        <v>274</v>
      </c>
      <c r="AL31" s="76" t="s">
        <v>274</v>
      </c>
      <c r="AM31" s="76" t="s">
        <v>274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</row>
    <row r="32">
      <c r="C32" s="75" t="s">
        <v>440</v>
      </c>
      <c r="D32" s="75" t="s">
        <v>441</v>
      </c>
      <c r="E32" s="76" t="s">
        <v>273</v>
      </c>
      <c r="F32" s="76" t="s">
        <v>275</v>
      </c>
      <c r="G32" s="76" t="s">
        <v>275</v>
      </c>
      <c r="H32" s="76" t="s">
        <v>275</v>
      </c>
      <c r="I32" s="76" t="s">
        <v>275</v>
      </c>
      <c r="J32" s="76" t="s">
        <v>273</v>
      </c>
      <c r="K32" s="76" t="s">
        <v>273</v>
      </c>
      <c r="L32" s="76" t="s">
        <v>275</v>
      </c>
      <c r="M32" s="76"/>
      <c r="N32" s="76" t="s">
        <v>275</v>
      </c>
      <c r="O32" s="76" t="s">
        <v>275</v>
      </c>
      <c r="P32" s="76" t="s">
        <v>275</v>
      </c>
      <c r="Q32" s="76"/>
      <c r="R32" s="76" t="s">
        <v>275</v>
      </c>
      <c r="S32" s="76"/>
      <c r="T32" s="76" t="s">
        <v>275</v>
      </c>
      <c r="U32" s="76" t="s">
        <v>442</v>
      </c>
      <c r="V32" s="76" t="s">
        <v>275</v>
      </c>
      <c r="W32" s="76" t="s">
        <v>275</v>
      </c>
      <c r="X32" s="76" t="s">
        <v>275</v>
      </c>
      <c r="Y32" s="76" t="s">
        <v>275</v>
      </c>
      <c r="Z32" s="76" t="s">
        <v>275</v>
      </c>
      <c r="AA32" s="76" t="s">
        <v>275</v>
      </c>
      <c r="AB32" s="76" t="s">
        <v>275</v>
      </c>
      <c r="AC32" s="76"/>
      <c r="AD32" s="76" t="s">
        <v>275</v>
      </c>
      <c r="AE32" s="76" t="s">
        <v>274</v>
      </c>
      <c r="AF32" s="76" t="s">
        <v>274</v>
      </c>
      <c r="AG32" s="76" t="s">
        <v>273</v>
      </c>
      <c r="AH32" s="76" t="s">
        <v>274</v>
      </c>
      <c r="AI32" s="76" t="s">
        <v>274</v>
      </c>
      <c r="AJ32" s="76" t="s">
        <v>274</v>
      </c>
      <c r="AK32" s="76" t="s">
        <v>274</v>
      </c>
      <c r="AL32" s="76" t="s">
        <v>274</v>
      </c>
      <c r="AM32" s="76" t="s">
        <v>274</v>
      </c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</row>
    <row r="33">
      <c r="D33" s="75" t="s">
        <v>443</v>
      </c>
      <c r="E33" s="76" t="s">
        <v>273</v>
      </c>
      <c r="F33" s="76" t="s">
        <v>275</v>
      </c>
      <c r="G33" s="76" t="s">
        <v>275</v>
      </c>
      <c r="H33" s="76" t="s">
        <v>275</v>
      </c>
      <c r="I33" s="76" t="s">
        <v>275</v>
      </c>
      <c r="J33" s="76" t="s">
        <v>273</v>
      </c>
      <c r="K33" s="76" t="s">
        <v>273</v>
      </c>
      <c r="L33" s="76" t="s">
        <v>275</v>
      </c>
      <c r="M33" s="76"/>
      <c r="N33" s="76" t="s">
        <v>275</v>
      </c>
      <c r="O33" s="76" t="s">
        <v>275</v>
      </c>
      <c r="P33" s="76" t="s">
        <v>275</v>
      </c>
      <c r="Q33" s="76"/>
      <c r="R33" s="76" t="s">
        <v>275</v>
      </c>
      <c r="S33" s="76"/>
      <c r="T33" s="76" t="s">
        <v>275</v>
      </c>
      <c r="U33" s="76" t="s">
        <v>275</v>
      </c>
      <c r="V33" s="76" t="s">
        <v>274</v>
      </c>
      <c r="W33" s="76" t="s">
        <v>274</v>
      </c>
      <c r="X33" s="76" t="s">
        <v>274</v>
      </c>
      <c r="Y33" s="76" t="s">
        <v>274</v>
      </c>
      <c r="Z33" s="76" t="s">
        <v>274</v>
      </c>
      <c r="AA33" s="76" t="s">
        <v>274</v>
      </c>
      <c r="AB33" s="76" t="s">
        <v>274</v>
      </c>
      <c r="AC33" s="76"/>
      <c r="AD33" s="76" t="s">
        <v>274</v>
      </c>
      <c r="AE33" s="76" t="s">
        <v>274</v>
      </c>
      <c r="AF33" s="76" t="s">
        <v>274</v>
      </c>
      <c r="AG33" s="76" t="s">
        <v>273</v>
      </c>
      <c r="AH33" s="76" t="s">
        <v>274</v>
      </c>
      <c r="AI33" s="76" t="s">
        <v>274</v>
      </c>
      <c r="AJ33" s="76" t="s">
        <v>274</v>
      </c>
      <c r="AK33" s="76" t="s">
        <v>274</v>
      </c>
      <c r="AL33" s="76" t="s">
        <v>274</v>
      </c>
      <c r="AM33" s="76" t="s">
        <v>274</v>
      </c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</row>
    <row r="34">
      <c r="D34" s="85" t="s">
        <v>444</v>
      </c>
      <c r="E34" s="76" t="s">
        <v>273</v>
      </c>
      <c r="F34" s="76" t="s">
        <v>275</v>
      </c>
      <c r="G34" s="76" t="s">
        <v>275</v>
      </c>
      <c r="H34" s="76" t="s">
        <v>275</v>
      </c>
      <c r="I34" s="76" t="s">
        <v>275</v>
      </c>
      <c r="J34" s="76" t="s">
        <v>273</v>
      </c>
      <c r="K34" s="76" t="s">
        <v>273</v>
      </c>
      <c r="L34" s="76" t="s">
        <v>275</v>
      </c>
      <c r="M34" s="76"/>
      <c r="N34" s="76" t="s">
        <v>275</v>
      </c>
      <c r="O34" s="76" t="s">
        <v>275</v>
      </c>
      <c r="P34" s="76" t="s">
        <v>275</v>
      </c>
      <c r="Q34" s="76"/>
      <c r="R34" s="76" t="s">
        <v>275</v>
      </c>
      <c r="S34" s="76"/>
      <c r="T34" s="76" t="s">
        <v>275</v>
      </c>
      <c r="U34" s="76" t="s">
        <v>275</v>
      </c>
      <c r="V34" s="76" t="s">
        <v>275</v>
      </c>
      <c r="W34" s="76" t="s">
        <v>275</v>
      </c>
      <c r="X34" s="76" t="s">
        <v>275</v>
      </c>
      <c r="Y34" s="76" t="s">
        <v>275</v>
      </c>
      <c r="Z34" s="76" t="s">
        <v>275</v>
      </c>
      <c r="AA34" s="76" t="s">
        <v>275</v>
      </c>
      <c r="AB34" s="76" t="s">
        <v>275</v>
      </c>
      <c r="AC34" s="76"/>
      <c r="AD34" s="76" t="s">
        <v>275</v>
      </c>
      <c r="AE34" s="76" t="s">
        <v>274</v>
      </c>
      <c r="AF34" s="76" t="s">
        <v>274</v>
      </c>
      <c r="AG34" s="76" t="s">
        <v>273</v>
      </c>
      <c r="AH34" s="76" t="s">
        <v>274</v>
      </c>
      <c r="AI34" s="76" t="s">
        <v>274</v>
      </c>
      <c r="AJ34" s="76" t="s">
        <v>274</v>
      </c>
      <c r="AK34" s="76" t="s">
        <v>274</v>
      </c>
      <c r="AL34" s="76" t="s">
        <v>274</v>
      </c>
      <c r="AM34" s="76" t="s">
        <v>274</v>
      </c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</row>
    <row r="35">
      <c r="D35" s="85" t="s">
        <v>445</v>
      </c>
      <c r="E35" s="76" t="s">
        <v>273</v>
      </c>
      <c r="F35" s="76" t="s">
        <v>275</v>
      </c>
      <c r="G35" s="76" t="s">
        <v>275</v>
      </c>
      <c r="H35" s="76" t="s">
        <v>275</v>
      </c>
      <c r="I35" s="76" t="s">
        <v>275</v>
      </c>
      <c r="J35" s="76" t="s">
        <v>273</v>
      </c>
      <c r="K35" s="76" t="s">
        <v>273</v>
      </c>
      <c r="L35" s="76" t="s">
        <v>275</v>
      </c>
      <c r="M35" s="76"/>
      <c r="N35" s="76" t="s">
        <v>275</v>
      </c>
      <c r="O35" s="76" t="s">
        <v>275</v>
      </c>
      <c r="P35" s="76" t="s">
        <v>275</v>
      </c>
      <c r="Q35" s="76"/>
      <c r="R35" s="76" t="s">
        <v>275</v>
      </c>
      <c r="S35" s="76"/>
      <c r="T35" s="76" t="s">
        <v>275</v>
      </c>
      <c r="U35" s="76" t="s">
        <v>275</v>
      </c>
      <c r="V35" s="76" t="s">
        <v>275</v>
      </c>
      <c r="W35" s="76" t="s">
        <v>275</v>
      </c>
      <c r="X35" s="76" t="s">
        <v>275</v>
      </c>
      <c r="Y35" s="76" t="s">
        <v>275</v>
      </c>
      <c r="Z35" s="76" t="s">
        <v>275</v>
      </c>
      <c r="AA35" s="76" t="s">
        <v>275</v>
      </c>
      <c r="AB35" s="76" t="s">
        <v>275</v>
      </c>
      <c r="AC35" s="76"/>
      <c r="AD35" s="76" t="s">
        <v>275</v>
      </c>
      <c r="AE35" s="76" t="s">
        <v>274</v>
      </c>
      <c r="AF35" s="76" t="s">
        <v>274</v>
      </c>
      <c r="AG35" s="76" t="s">
        <v>273</v>
      </c>
      <c r="AH35" s="76" t="s">
        <v>274</v>
      </c>
      <c r="AI35" s="76" t="s">
        <v>273</v>
      </c>
      <c r="AJ35" s="76" t="s">
        <v>273</v>
      </c>
      <c r="AK35" s="76" t="s">
        <v>273</v>
      </c>
      <c r="AL35" s="76" t="s">
        <v>274</v>
      </c>
      <c r="AM35" s="76" t="s">
        <v>274</v>
      </c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</row>
    <row r="36">
      <c r="C36" s="75" t="s">
        <v>446</v>
      </c>
      <c r="D36" s="75" t="s">
        <v>447</v>
      </c>
      <c r="E36" s="76" t="s">
        <v>273</v>
      </c>
      <c r="F36" s="76" t="s">
        <v>275</v>
      </c>
      <c r="G36" s="76" t="s">
        <v>275</v>
      </c>
      <c r="H36" s="76" t="s">
        <v>275</v>
      </c>
      <c r="I36" s="76" t="s">
        <v>275</v>
      </c>
      <c r="J36" s="76" t="s">
        <v>273</v>
      </c>
      <c r="K36" s="76" t="s">
        <v>273</v>
      </c>
      <c r="L36" s="76" t="s">
        <v>275</v>
      </c>
      <c r="M36" s="76"/>
      <c r="N36" s="76" t="s">
        <v>275</v>
      </c>
      <c r="O36" s="76" t="s">
        <v>275</v>
      </c>
      <c r="P36" s="76" t="s">
        <v>275</v>
      </c>
      <c r="Q36" s="76"/>
      <c r="R36" s="76" t="s">
        <v>275</v>
      </c>
      <c r="S36" s="76"/>
      <c r="T36" s="76" t="s">
        <v>275</v>
      </c>
      <c r="U36" s="76" t="s">
        <v>275</v>
      </c>
      <c r="V36" s="76" t="s">
        <v>275</v>
      </c>
      <c r="W36" s="76" t="s">
        <v>275</v>
      </c>
      <c r="X36" s="76" t="s">
        <v>275</v>
      </c>
      <c r="Y36" s="76" t="s">
        <v>275</v>
      </c>
      <c r="Z36" s="76" t="s">
        <v>275</v>
      </c>
      <c r="AA36" s="76" t="s">
        <v>275</v>
      </c>
      <c r="AB36" s="76" t="s">
        <v>275</v>
      </c>
      <c r="AC36" s="76"/>
      <c r="AD36" s="76" t="s">
        <v>275</v>
      </c>
      <c r="AE36" s="76" t="s">
        <v>274</v>
      </c>
      <c r="AF36" s="76" t="s">
        <v>274</v>
      </c>
      <c r="AG36" s="76" t="s">
        <v>273</v>
      </c>
      <c r="AH36" s="76" t="s">
        <v>273</v>
      </c>
      <c r="AI36" s="76" t="s">
        <v>273</v>
      </c>
      <c r="AJ36" s="76" t="s">
        <v>273</v>
      </c>
      <c r="AK36" s="76" t="s">
        <v>274</v>
      </c>
      <c r="AL36" s="76" t="s">
        <v>274</v>
      </c>
      <c r="AM36" s="76" t="s">
        <v>274</v>
      </c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</row>
    <row r="37">
      <c r="D37" s="75" t="s">
        <v>443</v>
      </c>
      <c r="E37" s="76" t="s">
        <v>273</v>
      </c>
      <c r="F37" s="76" t="s">
        <v>275</v>
      </c>
      <c r="G37" s="76" t="s">
        <v>275</v>
      </c>
      <c r="H37" s="76" t="s">
        <v>275</v>
      </c>
      <c r="I37" s="76" t="s">
        <v>275</v>
      </c>
      <c r="J37" s="76" t="s">
        <v>273</v>
      </c>
      <c r="K37" s="76" t="s">
        <v>273</v>
      </c>
      <c r="L37" s="76" t="s">
        <v>275</v>
      </c>
      <c r="M37" s="76"/>
      <c r="N37" s="76" t="s">
        <v>275</v>
      </c>
      <c r="O37" s="76" t="s">
        <v>275</v>
      </c>
      <c r="P37" s="76" t="s">
        <v>275</v>
      </c>
      <c r="Q37" s="76"/>
      <c r="R37" s="76" t="s">
        <v>275</v>
      </c>
      <c r="S37" s="76"/>
      <c r="T37" s="76" t="s">
        <v>275</v>
      </c>
      <c r="U37" s="76" t="s">
        <v>275</v>
      </c>
      <c r="V37" s="76" t="s">
        <v>274</v>
      </c>
      <c r="W37" s="76" t="s">
        <v>274</v>
      </c>
      <c r="X37" s="76" t="s">
        <v>274</v>
      </c>
      <c r="Y37" s="76" t="s">
        <v>274</v>
      </c>
      <c r="Z37" s="76" t="s">
        <v>274</v>
      </c>
      <c r="AA37" s="76" t="s">
        <v>274</v>
      </c>
      <c r="AB37" s="76" t="s">
        <v>274</v>
      </c>
      <c r="AC37" s="76"/>
      <c r="AD37" s="76" t="s">
        <v>274</v>
      </c>
      <c r="AE37" s="76" t="s">
        <v>274</v>
      </c>
      <c r="AF37" s="76" t="s">
        <v>274</v>
      </c>
      <c r="AG37" s="76" t="s">
        <v>273</v>
      </c>
      <c r="AH37" s="76" t="s">
        <v>274</v>
      </c>
      <c r="AI37" s="76" t="s">
        <v>274</v>
      </c>
      <c r="AJ37" s="76" t="s">
        <v>274</v>
      </c>
      <c r="AK37" s="76" t="s">
        <v>274</v>
      </c>
      <c r="AL37" s="76" t="s">
        <v>274</v>
      </c>
      <c r="AM37" s="76" t="s">
        <v>274</v>
      </c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</row>
    <row r="38">
      <c r="D38" s="85" t="s">
        <v>448</v>
      </c>
      <c r="E38" s="76" t="s">
        <v>273</v>
      </c>
      <c r="F38" s="76" t="s">
        <v>275</v>
      </c>
      <c r="G38" s="76" t="s">
        <v>275</v>
      </c>
      <c r="H38" s="76" t="s">
        <v>275</v>
      </c>
      <c r="I38" s="76" t="s">
        <v>275</v>
      </c>
      <c r="J38" s="76" t="s">
        <v>273</v>
      </c>
      <c r="K38" s="76" t="s">
        <v>273</v>
      </c>
      <c r="L38" s="76" t="s">
        <v>275</v>
      </c>
      <c r="M38" s="76"/>
      <c r="N38" s="76" t="s">
        <v>275</v>
      </c>
      <c r="O38" s="76" t="s">
        <v>275</v>
      </c>
      <c r="P38" s="76" t="s">
        <v>275</v>
      </c>
      <c r="Q38" s="76"/>
      <c r="R38" s="76" t="s">
        <v>275</v>
      </c>
      <c r="S38" s="76"/>
      <c r="T38" s="76" t="s">
        <v>275</v>
      </c>
      <c r="U38" s="76" t="s">
        <v>275</v>
      </c>
      <c r="V38" s="76" t="s">
        <v>275</v>
      </c>
      <c r="W38" s="76" t="s">
        <v>275</v>
      </c>
      <c r="X38" s="76" t="s">
        <v>275</v>
      </c>
      <c r="Y38" s="76" t="s">
        <v>275</v>
      </c>
      <c r="Z38" s="76" t="s">
        <v>275</v>
      </c>
      <c r="AA38" s="76" t="s">
        <v>275</v>
      </c>
      <c r="AB38" s="76" t="s">
        <v>275</v>
      </c>
      <c r="AC38" s="76"/>
      <c r="AD38" s="76" t="s">
        <v>275</v>
      </c>
      <c r="AE38" s="76" t="s">
        <v>274</v>
      </c>
      <c r="AF38" s="76" t="s">
        <v>274</v>
      </c>
      <c r="AG38" s="76" t="s">
        <v>273</v>
      </c>
      <c r="AH38" s="76" t="s">
        <v>274</v>
      </c>
      <c r="AI38" s="76" t="s">
        <v>274</v>
      </c>
      <c r="AJ38" s="76" t="s">
        <v>274</v>
      </c>
      <c r="AK38" s="76" t="s">
        <v>274</v>
      </c>
      <c r="AL38" s="76" t="s">
        <v>274</v>
      </c>
      <c r="AM38" s="76" t="s">
        <v>274</v>
      </c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</row>
    <row r="39">
      <c r="D39" s="85" t="s">
        <v>449</v>
      </c>
      <c r="E39" s="76" t="s">
        <v>273</v>
      </c>
      <c r="F39" s="76" t="s">
        <v>275</v>
      </c>
      <c r="G39" s="76" t="s">
        <v>275</v>
      </c>
      <c r="H39" s="76" t="s">
        <v>275</v>
      </c>
      <c r="I39" s="76" t="s">
        <v>275</v>
      </c>
      <c r="J39" s="76" t="s">
        <v>273</v>
      </c>
      <c r="K39" s="76" t="s">
        <v>273</v>
      </c>
      <c r="L39" s="76" t="s">
        <v>275</v>
      </c>
      <c r="M39" s="76"/>
      <c r="N39" s="76" t="s">
        <v>275</v>
      </c>
      <c r="O39" s="76" t="s">
        <v>275</v>
      </c>
      <c r="P39" s="76" t="s">
        <v>275</v>
      </c>
      <c r="Q39" s="76"/>
      <c r="R39" s="76" t="s">
        <v>275</v>
      </c>
      <c r="S39" s="76"/>
      <c r="T39" s="76" t="s">
        <v>275</v>
      </c>
      <c r="U39" s="76" t="s">
        <v>275</v>
      </c>
      <c r="V39" s="76" t="s">
        <v>275</v>
      </c>
      <c r="W39" s="76" t="s">
        <v>275</v>
      </c>
      <c r="X39" s="76" t="s">
        <v>275</v>
      </c>
      <c r="Y39" s="76" t="s">
        <v>275</v>
      </c>
      <c r="Z39" s="76" t="s">
        <v>275</v>
      </c>
      <c r="AA39" s="76" t="s">
        <v>275</v>
      </c>
      <c r="AB39" s="76" t="s">
        <v>275</v>
      </c>
      <c r="AC39" s="76"/>
      <c r="AD39" s="76" t="s">
        <v>275</v>
      </c>
      <c r="AE39" s="76" t="s">
        <v>274</v>
      </c>
      <c r="AF39" s="76" t="s">
        <v>274</v>
      </c>
      <c r="AG39" s="76" t="s">
        <v>273</v>
      </c>
      <c r="AH39" s="76" t="s">
        <v>274</v>
      </c>
      <c r="AI39" s="76" t="s">
        <v>273</v>
      </c>
      <c r="AJ39" s="76" t="s">
        <v>273</v>
      </c>
      <c r="AK39" s="76" t="s">
        <v>273</v>
      </c>
      <c r="AL39" s="76" t="s">
        <v>274</v>
      </c>
      <c r="AM39" s="76" t="s">
        <v>274</v>
      </c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</row>
    <row r="40">
      <c r="A40" s="84"/>
      <c r="B40" s="84"/>
      <c r="C40" s="84"/>
      <c r="D40" s="84"/>
      <c r="E40" s="84"/>
      <c r="F40" s="90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</row>
  </sheetData>
  <mergeCells count="53">
    <mergeCell ref="X28:X29"/>
    <mergeCell ref="Y28:Y29"/>
    <mergeCell ref="AJ28:AJ29"/>
    <mergeCell ref="AK28:AK29"/>
    <mergeCell ref="AL28:AL29"/>
    <mergeCell ref="AM28:AM29"/>
    <mergeCell ref="Q28:Q29"/>
    <mergeCell ref="R28:R29"/>
    <mergeCell ref="S28:S29"/>
    <mergeCell ref="T28:T29"/>
    <mergeCell ref="U28:U29"/>
    <mergeCell ref="V28:V29"/>
    <mergeCell ref="W28:W29"/>
    <mergeCell ref="B6:B7"/>
    <mergeCell ref="C6:C7"/>
    <mergeCell ref="A2:A3"/>
    <mergeCell ref="B2:B3"/>
    <mergeCell ref="C2:C3"/>
    <mergeCell ref="A4:A5"/>
    <mergeCell ref="B4:B5"/>
    <mergeCell ref="C4:C5"/>
    <mergeCell ref="A6:A9"/>
    <mergeCell ref="B17:B19"/>
    <mergeCell ref="B20:B23"/>
    <mergeCell ref="B28:B29"/>
    <mergeCell ref="B30:B39"/>
    <mergeCell ref="C32:C35"/>
    <mergeCell ref="C36:C39"/>
    <mergeCell ref="A17:A27"/>
    <mergeCell ref="A28:A29"/>
    <mergeCell ref="A30:A39"/>
    <mergeCell ref="A10:A11"/>
    <mergeCell ref="B10:B11"/>
    <mergeCell ref="A12:A13"/>
    <mergeCell ref="B12:B13"/>
    <mergeCell ref="C12:C13"/>
    <mergeCell ref="A15:A16"/>
    <mergeCell ref="B24:B26"/>
    <mergeCell ref="C28:C29"/>
    <mergeCell ref="D28:D29"/>
    <mergeCell ref="E28:E29"/>
    <mergeCell ref="F28:F29"/>
    <mergeCell ref="G28:G29"/>
    <mergeCell ref="H28:H29"/>
    <mergeCell ref="I28:I29"/>
    <mergeCell ref="C30:C31"/>
    <mergeCell ref="J28:J29"/>
    <mergeCell ref="K28:K29"/>
    <mergeCell ref="L28:L29"/>
    <mergeCell ref="M28:M29"/>
    <mergeCell ref="N28:N29"/>
    <mergeCell ref="O28:O29"/>
    <mergeCell ref="P28:P29"/>
  </mergeCells>
  <dataValidations>
    <dataValidation type="list" allowBlank="1" sqref="E2:AM28 Z29:AI29 E30:AM39 F40">
      <formula1>"PENDING,OK,FAILED"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19.63"/>
    <col customWidth="1" min="3" max="3" width="33.0"/>
    <col customWidth="1" min="4" max="4" width="31.63"/>
    <col customWidth="1" min="5" max="5" width="17.88"/>
    <col customWidth="1" min="9" max="10" width="14.5"/>
  </cols>
  <sheetData>
    <row r="1">
      <c r="A1" s="91" t="s">
        <v>4</v>
      </c>
      <c r="B1" s="72" t="s">
        <v>256</v>
      </c>
      <c r="C1" s="72" t="s">
        <v>257</v>
      </c>
      <c r="D1" s="72" t="s">
        <v>258</v>
      </c>
      <c r="E1" s="73" t="s">
        <v>259</v>
      </c>
      <c r="F1" s="73" t="s">
        <v>260</v>
      </c>
      <c r="G1" s="73" t="s">
        <v>261</v>
      </c>
      <c r="H1" s="73" t="s">
        <v>262</v>
      </c>
      <c r="I1" s="73" t="s">
        <v>450</v>
      </c>
      <c r="J1" s="73" t="s">
        <v>450</v>
      </c>
      <c r="K1" s="73" t="s">
        <v>263</v>
      </c>
      <c r="L1" s="73" t="s">
        <v>264</v>
      </c>
      <c r="M1" s="73" t="s">
        <v>265</v>
      </c>
      <c r="N1" s="73" t="s">
        <v>266</v>
      </c>
      <c r="O1" s="73" t="s">
        <v>267</v>
      </c>
      <c r="P1" s="73" t="s">
        <v>295</v>
      </c>
      <c r="Q1" s="78" t="s">
        <v>451</v>
      </c>
      <c r="R1" s="78" t="s">
        <v>297</v>
      </c>
      <c r="S1" s="78" t="s">
        <v>298</v>
      </c>
      <c r="T1" s="78" t="s">
        <v>299</v>
      </c>
      <c r="U1" s="78" t="s">
        <v>300</v>
      </c>
      <c r="V1" s="78" t="s">
        <v>301</v>
      </c>
      <c r="W1" s="78" t="s">
        <v>302</v>
      </c>
      <c r="X1" s="78" t="s">
        <v>303</v>
      </c>
      <c r="Y1" s="78" t="s">
        <v>304</v>
      </c>
      <c r="Z1" s="78" t="s">
        <v>305</v>
      </c>
      <c r="AA1" s="78" t="s">
        <v>306</v>
      </c>
      <c r="AB1" s="78" t="s">
        <v>307</v>
      </c>
      <c r="AC1" s="78" t="s">
        <v>308</v>
      </c>
      <c r="AD1" s="78" t="s">
        <v>309</v>
      </c>
      <c r="AE1" s="78" t="s">
        <v>310</v>
      </c>
      <c r="AF1" s="78" t="s">
        <v>311</v>
      </c>
      <c r="AG1" s="78" t="s">
        <v>312</v>
      </c>
      <c r="AH1" s="78" t="s">
        <v>313</v>
      </c>
      <c r="AI1" s="78" t="s">
        <v>314</v>
      </c>
      <c r="AJ1" s="78" t="s">
        <v>315</v>
      </c>
      <c r="AK1" s="78" t="s">
        <v>316</v>
      </c>
      <c r="AL1" s="78" t="s">
        <v>317</v>
      </c>
      <c r="AM1" s="78" t="s">
        <v>318</v>
      </c>
      <c r="AN1" s="78" t="s">
        <v>319</v>
      </c>
      <c r="AO1" s="78" t="s">
        <v>320</v>
      </c>
      <c r="AP1" s="78" t="s">
        <v>364</v>
      </c>
    </row>
    <row r="2">
      <c r="A2" s="71" t="s">
        <v>365</v>
      </c>
      <c r="B2" s="75" t="s">
        <v>452</v>
      </c>
      <c r="C2" s="75" t="s">
        <v>453</v>
      </c>
      <c r="D2" s="75" t="s">
        <v>454</v>
      </c>
      <c r="E2" s="76" t="s">
        <v>274</v>
      </c>
      <c r="F2" s="76" t="s">
        <v>274</v>
      </c>
      <c r="G2" s="76" t="s">
        <v>274</v>
      </c>
      <c r="H2" s="76" t="s">
        <v>274</v>
      </c>
      <c r="I2" s="76"/>
      <c r="J2" s="76"/>
      <c r="K2" s="76" t="s">
        <v>274</v>
      </c>
      <c r="L2" s="76" t="s">
        <v>274</v>
      </c>
      <c r="M2" s="76" t="s">
        <v>273</v>
      </c>
      <c r="N2" s="76" t="s">
        <v>274</v>
      </c>
      <c r="O2" s="76"/>
      <c r="P2" s="76" t="s">
        <v>274</v>
      </c>
      <c r="Q2" s="76" t="s">
        <v>274</v>
      </c>
      <c r="R2" s="76" t="s">
        <v>274</v>
      </c>
      <c r="S2" s="76" t="s">
        <v>275</v>
      </c>
      <c r="T2" s="76" t="s">
        <v>274</v>
      </c>
      <c r="U2" s="76" t="s">
        <v>275</v>
      </c>
      <c r="V2" s="76" t="s">
        <v>274</v>
      </c>
      <c r="W2" s="76" t="s">
        <v>274</v>
      </c>
      <c r="X2" s="76" t="s">
        <v>274</v>
      </c>
      <c r="Y2" s="76" t="s">
        <v>274</v>
      </c>
      <c r="Z2" s="76" t="s">
        <v>274</v>
      </c>
      <c r="AA2" s="76" t="s">
        <v>274</v>
      </c>
      <c r="AB2" s="76" t="s">
        <v>274</v>
      </c>
      <c r="AC2" s="76" t="s">
        <v>274</v>
      </c>
      <c r="AD2" s="76" t="s">
        <v>274</v>
      </c>
      <c r="AE2" s="76" t="s">
        <v>274</v>
      </c>
      <c r="AF2" s="76"/>
      <c r="AG2" s="76" t="s">
        <v>274</v>
      </c>
      <c r="AH2" s="76" t="s">
        <v>274</v>
      </c>
      <c r="AI2" s="76" t="s">
        <v>274</v>
      </c>
      <c r="AJ2" s="76" t="s">
        <v>274</v>
      </c>
      <c r="AK2" s="76" t="s">
        <v>274</v>
      </c>
      <c r="AL2" s="76" t="s">
        <v>274</v>
      </c>
      <c r="AM2" s="76" t="s">
        <v>274</v>
      </c>
      <c r="AN2" s="76" t="s">
        <v>274</v>
      </c>
      <c r="AO2" s="76" t="s">
        <v>274</v>
      </c>
      <c r="AP2" s="76" t="s">
        <v>274</v>
      </c>
    </row>
    <row r="3" ht="22.5" customHeight="1">
      <c r="D3" s="85" t="s">
        <v>369</v>
      </c>
      <c r="E3" s="76" t="s">
        <v>274</v>
      </c>
      <c r="F3" s="76" t="s">
        <v>274</v>
      </c>
      <c r="G3" s="76" t="s">
        <v>274</v>
      </c>
      <c r="H3" s="76" t="s">
        <v>274</v>
      </c>
      <c r="I3" s="76"/>
      <c r="J3" s="76"/>
      <c r="K3" s="76" t="s">
        <v>274</v>
      </c>
      <c r="L3" s="76" t="s">
        <v>274</v>
      </c>
      <c r="M3" s="76" t="s">
        <v>273</v>
      </c>
      <c r="N3" s="76" t="s">
        <v>274</v>
      </c>
      <c r="O3" s="76"/>
      <c r="P3" s="76" t="s">
        <v>274</v>
      </c>
      <c r="Q3" s="76" t="s">
        <v>274</v>
      </c>
      <c r="R3" s="76" t="s">
        <v>274</v>
      </c>
      <c r="S3" s="76" t="s">
        <v>275</v>
      </c>
      <c r="T3" s="76" t="s">
        <v>274</v>
      </c>
      <c r="U3" s="76" t="s">
        <v>275</v>
      </c>
      <c r="V3" s="76" t="s">
        <v>274</v>
      </c>
      <c r="W3" s="76" t="s">
        <v>274</v>
      </c>
      <c r="X3" s="76" t="s">
        <v>274</v>
      </c>
      <c r="Y3" s="76" t="s">
        <v>274</v>
      </c>
      <c r="Z3" s="76" t="s">
        <v>274</v>
      </c>
      <c r="AA3" s="76" t="s">
        <v>274</v>
      </c>
      <c r="AB3" s="76" t="s">
        <v>274</v>
      </c>
      <c r="AC3" s="76" t="s">
        <v>274</v>
      </c>
      <c r="AD3" s="76" t="s">
        <v>274</v>
      </c>
      <c r="AE3" s="76" t="s">
        <v>274</v>
      </c>
      <c r="AF3" s="76"/>
      <c r="AG3" s="76" t="s">
        <v>274</v>
      </c>
      <c r="AH3" s="76" t="s">
        <v>274</v>
      </c>
      <c r="AI3" s="76" t="s">
        <v>274</v>
      </c>
      <c r="AJ3" s="76" t="s">
        <v>274</v>
      </c>
      <c r="AK3" s="76" t="s">
        <v>274</v>
      </c>
      <c r="AL3" s="76" t="s">
        <v>274</v>
      </c>
      <c r="AM3" s="76" t="s">
        <v>274</v>
      </c>
      <c r="AN3" s="76" t="s">
        <v>274</v>
      </c>
      <c r="AO3" s="76" t="s">
        <v>274</v>
      </c>
      <c r="AP3" s="76" t="s">
        <v>274</v>
      </c>
    </row>
    <row r="4">
      <c r="B4" s="75" t="s">
        <v>452</v>
      </c>
      <c r="C4" s="75" t="s">
        <v>455</v>
      </c>
      <c r="D4" s="75" t="s">
        <v>456</v>
      </c>
      <c r="E4" s="76" t="s">
        <v>273</v>
      </c>
      <c r="F4" s="76" t="s">
        <v>273</v>
      </c>
      <c r="G4" s="76" t="s">
        <v>273</v>
      </c>
      <c r="H4" s="76" t="s">
        <v>274</v>
      </c>
      <c r="I4" s="76"/>
      <c r="J4" s="76"/>
      <c r="K4" s="76" t="s">
        <v>274</v>
      </c>
      <c r="L4" s="76" t="s">
        <v>274</v>
      </c>
      <c r="M4" s="76" t="s">
        <v>273</v>
      </c>
      <c r="N4" s="76" t="s">
        <v>274</v>
      </c>
      <c r="O4" s="76"/>
      <c r="P4" s="76" t="s">
        <v>274</v>
      </c>
      <c r="Q4" s="76" t="s">
        <v>274</v>
      </c>
      <c r="R4" s="76" t="s">
        <v>274</v>
      </c>
      <c r="S4" s="76" t="s">
        <v>275</v>
      </c>
      <c r="T4" s="76" t="s">
        <v>274</v>
      </c>
      <c r="U4" s="76" t="s">
        <v>275</v>
      </c>
      <c r="V4" s="76" t="s">
        <v>274</v>
      </c>
      <c r="W4" s="76" t="s">
        <v>274</v>
      </c>
      <c r="X4" s="76" t="s">
        <v>274</v>
      </c>
      <c r="Y4" s="76" t="s">
        <v>274</v>
      </c>
      <c r="Z4" s="76" t="s">
        <v>274</v>
      </c>
      <c r="AA4" s="76" t="s">
        <v>274</v>
      </c>
      <c r="AB4" s="76" t="s">
        <v>274</v>
      </c>
      <c r="AC4" s="76" t="s">
        <v>274</v>
      </c>
      <c r="AD4" s="76" t="s">
        <v>274</v>
      </c>
      <c r="AE4" s="76" t="s">
        <v>274</v>
      </c>
      <c r="AF4" s="76"/>
      <c r="AG4" s="76" t="s">
        <v>274</v>
      </c>
      <c r="AH4" s="76" t="s">
        <v>274</v>
      </c>
      <c r="AI4" s="76" t="s">
        <v>274</v>
      </c>
      <c r="AJ4" s="76" t="s">
        <v>274</v>
      </c>
      <c r="AK4" s="76" t="s">
        <v>274</v>
      </c>
      <c r="AL4" s="76" t="s">
        <v>274</v>
      </c>
      <c r="AM4" s="76" t="s">
        <v>274</v>
      </c>
      <c r="AN4" s="76" t="s">
        <v>274</v>
      </c>
      <c r="AO4" s="76" t="s">
        <v>274</v>
      </c>
      <c r="AP4" s="76" t="s">
        <v>274</v>
      </c>
    </row>
    <row r="5">
      <c r="D5" s="85" t="s">
        <v>457</v>
      </c>
      <c r="E5" s="76" t="s">
        <v>274</v>
      </c>
      <c r="F5" s="76" t="s">
        <v>274</v>
      </c>
      <c r="G5" s="76" t="s">
        <v>274</v>
      </c>
      <c r="H5" s="76" t="s">
        <v>274</v>
      </c>
      <c r="I5" s="76"/>
      <c r="J5" s="76"/>
      <c r="K5" s="76" t="s">
        <v>274</v>
      </c>
      <c r="L5" s="76" t="s">
        <v>274</v>
      </c>
      <c r="M5" s="76" t="s">
        <v>273</v>
      </c>
      <c r="N5" s="76" t="s">
        <v>274</v>
      </c>
      <c r="O5" s="76"/>
      <c r="P5" s="76" t="s">
        <v>274</v>
      </c>
      <c r="Q5" s="76" t="s">
        <v>274</v>
      </c>
      <c r="R5" s="76" t="s">
        <v>274</v>
      </c>
      <c r="S5" s="76" t="s">
        <v>275</v>
      </c>
      <c r="T5" s="76" t="s">
        <v>274</v>
      </c>
      <c r="U5" s="76" t="s">
        <v>275</v>
      </c>
      <c r="V5" s="76" t="s">
        <v>274</v>
      </c>
      <c r="W5" s="76" t="s">
        <v>274</v>
      </c>
      <c r="X5" s="76" t="s">
        <v>274</v>
      </c>
      <c r="Y5" s="76" t="s">
        <v>274</v>
      </c>
      <c r="Z5" s="76" t="s">
        <v>274</v>
      </c>
      <c r="AA5" s="76" t="s">
        <v>274</v>
      </c>
      <c r="AB5" s="76" t="s">
        <v>274</v>
      </c>
      <c r="AC5" s="76" t="s">
        <v>274</v>
      </c>
      <c r="AD5" s="76" t="s">
        <v>274</v>
      </c>
      <c r="AE5" s="76" t="s">
        <v>274</v>
      </c>
      <c r="AF5" s="76"/>
      <c r="AG5" s="76" t="s">
        <v>274</v>
      </c>
      <c r="AH5" s="76" t="s">
        <v>274</v>
      </c>
      <c r="AI5" s="76" t="s">
        <v>274</v>
      </c>
      <c r="AJ5" s="76" t="s">
        <v>274</v>
      </c>
      <c r="AK5" s="76" t="s">
        <v>274</v>
      </c>
      <c r="AL5" s="76" t="s">
        <v>274</v>
      </c>
      <c r="AM5" s="76" t="s">
        <v>274</v>
      </c>
      <c r="AN5" s="76" t="s">
        <v>274</v>
      </c>
      <c r="AO5" s="76" t="s">
        <v>274</v>
      </c>
      <c r="AP5" s="76" t="s">
        <v>274</v>
      </c>
    </row>
    <row r="6">
      <c r="B6" s="75" t="s">
        <v>452</v>
      </c>
      <c r="C6" s="75" t="s">
        <v>458</v>
      </c>
      <c r="D6" s="75" t="s">
        <v>459</v>
      </c>
      <c r="E6" s="76" t="s">
        <v>273</v>
      </c>
      <c r="F6" s="76" t="s">
        <v>273</v>
      </c>
      <c r="G6" s="76" t="s">
        <v>273</v>
      </c>
      <c r="H6" s="76" t="s">
        <v>274</v>
      </c>
      <c r="I6" s="76"/>
      <c r="J6" s="76"/>
      <c r="K6" s="76" t="s">
        <v>274</v>
      </c>
      <c r="L6" s="76" t="s">
        <v>274</v>
      </c>
      <c r="M6" s="76" t="s">
        <v>273</v>
      </c>
      <c r="N6" s="76" t="s">
        <v>274</v>
      </c>
      <c r="O6" s="76"/>
      <c r="P6" s="76" t="s">
        <v>460</v>
      </c>
      <c r="Q6" s="76" t="s">
        <v>460</v>
      </c>
      <c r="R6" s="76" t="s">
        <v>460</v>
      </c>
      <c r="S6" s="76" t="s">
        <v>275</v>
      </c>
      <c r="T6" s="76" t="s">
        <v>274</v>
      </c>
      <c r="U6" s="76" t="s">
        <v>275</v>
      </c>
      <c r="V6" s="76" t="s">
        <v>274</v>
      </c>
      <c r="W6" s="76" t="s">
        <v>274</v>
      </c>
      <c r="X6" s="76" t="s">
        <v>274</v>
      </c>
      <c r="Y6" s="76" t="s">
        <v>274</v>
      </c>
      <c r="Z6" s="76" t="s">
        <v>274</v>
      </c>
      <c r="AA6" s="76" t="s">
        <v>274</v>
      </c>
      <c r="AB6" s="76" t="s">
        <v>274</v>
      </c>
      <c r="AC6" s="76" t="s">
        <v>274</v>
      </c>
      <c r="AD6" s="76" t="s">
        <v>274</v>
      </c>
      <c r="AE6" s="76" t="s">
        <v>274</v>
      </c>
      <c r="AF6" s="76"/>
      <c r="AG6" s="76" t="s">
        <v>274</v>
      </c>
      <c r="AH6" s="76" t="s">
        <v>274</v>
      </c>
      <c r="AI6" s="76" t="s">
        <v>274</v>
      </c>
      <c r="AJ6" s="76" t="s">
        <v>274</v>
      </c>
      <c r="AK6" s="76" t="s">
        <v>274</v>
      </c>
      <c r="AL6" s="76" t="s">
        <v>274</v>
      </c>
      <c r="AM6" s="76" t="s">
        <v>274</v>
      </c>
      <c r="AN6" s="76" t="s">
        <v>274</v>
      </c>
      <c r="AO6" s="76" t="s">
        <v>274</v>
      </c>
      <c r="AP6" s="76" t="s">
        <v>274</v>
      </c>
    </row>
    <row r="7">
      <c r="D7" s="85" t="s">
        <v>461</v>
      </c>
      <c r="E7" s="76" t="s">
        <v>273</v>
      </c>
      <c r="F7" s="76" t="s">
        <v>273</v>
      </c>
      <c r="G7" s="76" t="s">
        <v>273</v>
      </c>
      <c r="H7" s="76" t="s">
        <v>273</v>
      </c>
      <c r="I7" s="76"/>
      <c r="J7" s="76"/>
      <c r="K7" s="76" t="s">
        <v>273</v>
      </c>
      <c r="L7" s="76" t="s">
        <v>274</v>
      </c>
      <c r="M7" s="76" t="s">
        <v>273</v>
      </c>
      <c r="N7" s="76" t="s">
        <v>274</v>
      </c>
      <c r="O7" s="76"/>
      <c r="P7" s="76" t="s">
        <v>274</v>
      </c>
      <c r="Q7" s="76" t="s">
        <v>274</v>
      </c>
      <c r="R7" s="76" t="s">
        <v>274</v>
      </c>
      <c r="S7" s="76" t="s">
        <v>275</v>
      </c>
      <c r="T7" s="76" t="s">
        <v>274</v>
      </c>
      <c r="U7" s="76" t="s">
        <v>275</v>
      </c>
      <c r="V7" s="76" t="s">
        <v>274</v>
      </c>
      <c r="W7" s="76" t="s">
        <v>274</v>
      </c>
      <c r="X7" s="76" t="s">
        <v>274</v>
      </c>
      <c r="Y7" s="76" t="s">
        <v>274</v>
      </c>
      <c r="Z7" s="76" t="s">
        <v>274</v>
      </c>
      <c r="AA7" s="76" t="s">
        <v>274</v>
      </c>
      <c r="AB7" s="76" t="s">
        <v>274</v>
      </c>
      <c r="AC7" s="76" t="s">
        <v>274</v>
      </c>
      <c r="AD7" s="76" t="s">
        <v>274</v>
      </c>
      <c r="AE7" s="76" t="s">
        <v>274</v>
      </c>
      <c r="AF7" s="76"/>
      <c r="AG7" s="76" t="s">
        <v>274</v>
      </c>
      <c r="AH7" s="76" t="s">
        <v>274</v>
      </c>
      <c r="AI7" s="76" t="s">
        <v>274</v>
      </c>
      <c r="AJ7" s="76" t="s">
        <v>274</v>
      </c>
      <c r="AK7" s="76" t="s">
        <v>274</v>
      </c>
      <c r="AL7" s="76" t="s">
        <v>274</v>
      </c>
      <c r="AM7" s="76" t="s">
        <v>274</v>
      </c>
      <c r="AN7" s="76" t="s">
        <v>274</v>
      </c>
      <c r="AO7" s="76" t="s">
        <v>274</v>
      </c>
      <c r="AP7" s="76" t="s">
        <v>274</v>
      </c>
    </row>
    <row r="8">
      <c r="A8" s="71"/>
      <c r="B8" s="75" t="s">
        <v>462</v>
      </c>
      <c r="C8" s="75" t="s">
        <v>372</v>
      </c>
      <c r="D8" s="75" t="s">
        <v>373</v>
      </c>
      <c r="E8" s="76" t="s">
        <v>273</v>
      </c>
      <c r="F8" s="76" t="s">
        <v>274</v>
      </c>
      <c r="G8" s="76" t="s">
        <v>274</v>
      </c>
      <c r="H8" s="76" t="s">
        <v>274</v>
      </c>
      <c r="I8" s="76"/>
      <c r="J8" s="76"/>
      <c r="K8" s="76" t="s">
        <v>274</v>
      </c>
      <c r="L8" s="76" t="s">
        <v>274</v>
      </c>
      <c r="M8" s="76" t="s">
        <v>273</v>
      </c>
      <c r="N8" s="76" t="s">
        <v>274</v>
      </c>
      <c r="O8" s="76"/>
      <c r="P8" s="76" t="s">
        <v>274</v>
      </c>
      <c r="Q8" s="76" t="s">
        <v>274</v>
      </c>
      <c r="R8" s="76" t="s">
        <v>274</v>
      </c>
      <c r="S8" s="76" t="s">
        <v>275</v>
      </c>
      <c r="T8" s="76" t="s">
        <v>274</v>
      </c>
      <c r="U8" s="76" t="s">
        <v>275</v>
      </c>
      <c r="V8" s="76" t="s">
        <v>274</v>
      </c>
      <c r="W8" s="76" t="s">
        <v>274</v>
      </c>
      <c r="X8" s="76" t="s">
        <v>274</v>
      </c>
      <c r="Y8" s="76" t="s">
        <v>274</v>
      </c>
      <c r="Z8" s="76" t="s">
        <v>274</v>
      </c>
      <c r="AA8" s="76" t="s">
        <v>274</v>
      </c>
      <c r="AB8" s="76" t="s">
        <v>274</v>
      </c>
      <c r="AC8" s="76" t="s">
        <v>274</v>
      </c>
      <c r="AD8" s="76" t="s">
        <v>274</v>
      </c>
      <c r="AE8" s="76" t="s">
        <v>274</v>
      </c>
      <c r="AF8" s="76"/>
      <c r="AG8" s="76" t="s">
        <v>274</v>
      </c>
      <c r="AH8" s="76" t="s">
        <v>274</v>
      </c>
      <c r="AI8" s="76" t="s">
        <v>274</v>
      </c>
      <c r="AJ8" s="76" t="s">
        <v>274</v>
      </c>
      <c r="AK8" s="76" t="s">
        <v>274</v>
      </c>
      <c r="AL8" s="76" t="s">
        <v>274</v>
      </c>
      <c r="AM8" s="76" t="s">
        <v>274</v>
      </c>
      <c r="AN8" s="76" t="s">
        <v>274</v>
      </c>
      <c r="AO8" s="76" t="s">
        <v>274</v>
      </c>
      <c r="AP8" s="76" t="s">
        <v>274</v>
      </c>
    </row>
    <row r="9">
      <c r="A9" s="71" t="s">
        <v>375</v>
      </c>
      <c r="B9" s="75" t="s">
        <v>376</v>
      </c>
      <c r="C9" s="75" t="s">
        <v>377</v>
      </c>
      <c r="D9" s="75" t="s">
        <v>378</v>
      </c>
      <c r="E9" s="76" t="s">
        <v>274</v>
      </c>
      <c r="F9" s="76" t="s">
        <v>274</v>
      </c>
      <c r="G9" s="76" t="s">
        <v>274</v>
      </c>
      <c r="H9" s="76" t="s">
        <v>274</v>
      </c>
      <c r="I9" s="76"/>
      <c r="J9" s="76"/>
      <c r="K9" s="76" t="s">
        <v>274</v>
      </c>
      <c r="L9" s="76" t="s">
        <v>274</v>
      </c>
      <c r="M9" s="76" t="s">
        <v>273</v>
      </c>
      <c r="N9" s="76" t="s">
        <v>274</v>
      </c>
      <c r="O9" s="76"/>
      <c r="P9" s="76" t="s">
        <v>274</v>
      </c>
      <c r="Q9" s="76" t="s">
        <v>274</v>
      </c>
      <c r="R9" s="76" t="s">
        <v>274</v>
      </c>
      <c r="S9" s="76" t="s">
        <v>275</v>
      </c>
      <c r="T9" s="76" t="s">
        <v>274</v>
      </c>
      <c r="U9" s="76" t="s">
        <v>275</v>
      </c>
      <c r="V9" s="76" t="s">
        <v>274</v>
      </c>
      <c r="W9" s="76" t="s">
        <v>274</v>
      </c>
      <c r="X9" s="76" t="s">
        <v>274</v>
      </c>
      <c r="Y9" s="76" t="s">
        <v>274</v>
      </c>
      <c r="Z9" s="76" t="s">
        <v>274</v>
      </c>
      <c r="AA9" s="76" t="s">
        <v>274</v>
      </c>
      <c r="AB9" s="76" t="s">
        <v>274</v>
      </c>
      <c r="AC9" s="76" t="s">
        <v>274</v>
      </c>
      <c r="AD9" s="76" t="s">
        <v>274</v>
      </c>
      <c r="AE9" s="76" t="s">
        <v>274</v>
      </c>
      <c r="AF9" s="76"/>
      <c r="AG9" s="76" t="s">
        <v>274</v>
      </c>
      <c r="AH9" s="76" t="s">
        <v>274</v>
      </c>
      <c r="AI9" s="76" t="s">
        <v>274</v>
      </c>
      <c r="AJ9" s="76" t="s">
        <v>274</v>
      </c>
      <c r="AK9" s="76" t="s">
        <v>274</v>
      </c>
      <c r="AL9" s="76" t="s">
        <v>274</v>
      </c>
      <c r="AM9" s="76" t="s">
        <v>274</v>
      </c>
      <c r="AN9" s="76" t="s">
        <v>274</v>
      </c>
      <c r="AO9" s="76" t="s">
        <v>274</v>
      </c>
      <c r="AP9" s="76" t="s">
        <v>274</v>
      </c>
    </row>
    <row r="10">
      <c r="D10" s="85" t="s">
        <v>379</v>
      </c>
      <c r="E10" s="76" t="s">
        <v>274</v>
      </c>
      <c r="F10" s="76" t="s">
        <v>274</v>
      </c>
      <c r="G10" s="76" t="s">
        <v>274</v>
      </c>
      <c r="H10" s="76" t="s">
        <v>274</v>
      </c>
      <c r="I10" s="76"/>
      <c r="J10" s="76"/>
      <c r="K10" s="76" t="s">
        <v>274</v>
      </c>
      <c r="L10" s="76" t="s">
        <v>274</v>
      </c>
      <c r="M10" s="76" t="s">
        <v>273</v>
      </c>
      <c r="N10" s="76" t="s">
        <v>274</v>
      </c>
      <c r="O10" s="76"/>
      <c r="P10" s="76" t="s">
        <v>274</v>
      </c>
      <c r="Q10" s="76" t="s">
        <v>274</v>
      </c>
      <c r="R10" s="76" t="s">
        <v>274</v>
      </c>
      <c r="S10" s="76" t="s">
        <v>275</v>
      </c>
      <c r="T10" s="76" t="s">
        <v>274</v>
      </c>
      <c r="U10" s="76" t="s">
        <v>275</v>
      </c>
      <c r="V10" s="76" t="s">
        <v>274</v>
      </c>
      <c r="W10" s="76" t="s">
        <v>274</v>
      </c>
      <c r="X10" s="76" t="s">
        <v>274</v>
      </c>
      <c r="Y10" s="76" t="s">
        <v>274</v>
      </c>
      <c r="Z10" s="76" t="s">
        <v>274</v>
      </c>
      <c r="AA10" s="76" t="s">
        <v>274</v>
      </c>
      <c r="AB10" s="76" t="s">
        <v>274</v>
      </c>
      <c r="AC10" s="76" t="s">
        <v>274</v>
      </c>
      <c r="AD10" s="76" t="s">
        <v>274</v>
      </c>
      <c r="AE10" s="76" t="s">
        <v>274</v>
      </c>
      <c r="AF10" s="76"/>
      <c r="AG10" s="76" t="s">
        <v>274</v>
      </c>
      <c r="AH10" s="76" t="s">
        <v>274</v>
      </c>
      <c r="AI10" s="76" t="s">
        <v>274</v>
      </c>
      <c r="AJ10" s="76" t="s">
        <v>273</v>
      </c>
      <c r="AK10" s="76" t="s">
        <v>274</v>
      </c>
      <c r="AL10" s="76" t="s">
        <v>274</v>
      </c>
      <c r="AM10" s="76" t="s">
        <v>274</v>
      </c>
      <c r="AN10" s="76" t="s">
        <v>274</v>
      </c>
      <c r="AO10" s="76" t="s">
        <v>274</v>
      </c>
      <c r="AP10" s="76" t="s">
        <v>274</v>
      </c>
    </row>
    <row r="11">
      <c r="B11" s="75" t="s">
        <v>376</v>
      </c>
      <c r="C11" s="75" t="s">
        <v>377</v>
      </c>
      <c r="D11" s="85" t="s">
        <v>380</v>
      </c>
      <c r="E11" s="76" t="s">
        <v>274</v>
      </c>
      <c r="F11" s="76" t="s">
        <v>274</v>
      </c>
      <c r="G11" s="76" t="s">
        <v>274</v>
      </c>
      <c r="H11" s="76" t="s">
        <v>274</v>
      </c>
      <c r="I11" s="76"/>
      <c r="J11" s="76"/>
      <c r="K11" s="76" t="s">
        <v>274</v>
      </c>
      <c r="L11" s="76" t="s">
        <v>274</v>
      </c>
      <c r="M11" s="76" t="s">
        <v>273</v>
      </c>
      <c r="N11" s="76" t="s">
        <v>274</v>
      </c>
      <c r="O11" s="76"/>
      <c r="P11" s="76" t="s">
        <v>274</v>
      </c>
      <c r="Q11" s="76" t="s">
        <v>274</v>
      </c>
      <c r="R11" s="76" t="s">
        <v>274</v>
      </c>
      <c r="S11" s="76" t="s">
        <v>275</v>
      </c>
      <c r="T11" s="76" t="s">
        <v>274</v>
      </c>
      <c r="U11" s="76" t="s">
        <v>275</v>
      </c>
      <c r="V11" s="76" t="s">
        <v>274</v>
      </c>
      <c r="W11" s="76" t="s">
        <v>274</v>
      </c>
      <c r="X11" s="76" t="s">
        <v>274</v>
      </c>
      <c r="Y11" s="76" t="s">
        <v>274</v>
      </c>
      <c r="Z11" s="76" t="s">
        <v>274</v>
      </c>
      <c r="AA11" s="76" t="s">
        <v>274</v>
      </c>
      <c r="AB11" s="76" t="s">
        <v>274</v>
      </c>
      <c r="AC11" s="76" t="s">
        <v>274</v>
      </c>
      <c r="AD11" s="76" t="s">
        <v>274</v>
      </c>
      <c r="AE11" s="76" t="s">
        <v>274</v>
      </c>
      <c r="AF11" s="76"/>
      <c r="AG11" s="76" t="s">
        <v>274</v>
      </c>
      <c r="AH11" s="76" t="s">
        <v>274</v>
      </c>
      <c r="AI11" s="76" t="s">
        <v>274</v>
      </c>
      <c r="AJ11" s="76" t="s">
        <v>274</v>
      </c>
      <c r="AK11" s="76" t="s">
        <v>274</v>
      </c>
      <c r="AL11" s="76" t="s">
        <v>274</v>
      </c>
      <c r="AM11" s="76" t="s">
        <v>274</v>
      </c>
      <c r="AN11" s="76" t="s">
        <v>274</v>
      </c>
      <c r="AO11" s="76" t="s">
        <v>274</v>
      </c>
      <c r="AP11" s="76" t="s">
        <v>274</v>
      </c>
    </row>
    <row r="12">
      <c r="C12" s="75"/>
      <c r="D12" s="85" t="s">
        <v>381</v>
      </c>
      <c r="E12" s="76" t="s">
        <v>274</v>
      </c>
      <c r="F12" s="76" t="s">
        <v>274</v>
      </c>
      <c r="G12" s="76" t="s">
        <v>274</v>
      </c>
      <c r="H12" s="76" t="s">
        <v>274</v>
      </c>
      <c r="I12" s="76"/>
      <c r="J12" s="76"/>
      <c r="K12" s="76" t="s">
        <v>274</v>
      </c>
      <c r="L12" s="76" t="s">
        <v>274</v>
      </c>
      <c r="M12" s="76" t="s">
        <v>273</v>
      </c>
      <c r="N12" s="76" t="s">
        <v>274</v>
      </c>
      <c r="O12" s="76"/>
      <c r="P12" s="76" t="s">
        <v>274</v>
      </c>
      <c r="Q12" s="76" t="s">
        <v>274</v>
      </c>
      <c r="R12" s="76" t="s">
        <v>274</v>
      </c>
      <c r="S12" s="76" t="s">
        <v>275</v>
      </c>
      <c r="T12" s="76" t="s">
        <v>274</v>
      </c>
      <c r="U12" s="76" t="s">
        <v>275</v>
      </c>
      <c r="V12" s="76" t="s">
        <v>274</v>
      </c>
      <c r="W12" s="76" t="s">
        <v>274</v>
      </c>
      <c r="X12" s="76" t="s">
        <v>274</v>
      </c>
      <c r="Y12" s="76" t="s">
        <v>274</v>
      </c>
      <c r="Z12" s="76" t="s">
        <v>274</v>
      </c>
      <c r="AA12" s="76" t="s">
        <v>274</v>
      </c>
      <c r="AB12" s="76" t="s">
        <v>274</v>
      </c>
      <c r="AC12" s="76" t="s">
        <v>274</v>
      </c>
      <c r="AD12" s="76" t="s">
        <v>274</v>
      </c>
      <c r="AE12" s="76" t="s">
        <v>274</v>
      </c>
      <c r="AF12" s="76"/>
      <c r="AG12" s="76" t="s">
        <v>274</v>
      </c>
      <c r="AH12" s="76" t="s">
        <v>274</v>
      </c>
      <c r="AI12" s="76" t="s">
        <v>274</v>
      </c>
      <c r="AJ12" s="76" t="s">
        <v>274</v>
      </c>
      <c r="AK12" s="76" t="s">
        <v>274</v>
      </c>
      <c r="AL12" s="76" t="s">
        <v>274</v>
      </c>
      <c r="AM12" s="76" t="s">
        <v>274</v>
      </c>
      <c r="AN12" s="76" t="s">
        <v>274</v>
      </c>
      <c r="AO12" s="76" t="s">
        <v>274</v>
      </c>
      <c r="AP12" s="76" t="s">
        <v>274</v>
      </c>
    </row>
    <row r="13">
      <c r="A13" s="71" t="s">
        <v>382</v>
      </c>
      <c r="B13" s="75" t="s">
        <v>383</v>
      </c>
      <c r="C13" s="75" t="s">
        <v>463</v>
      </c>
      <c r="D13" s="75" t="s">
        <v>385</v>
      </c>
      <c r="E13" s="76" t="s">
        <v>274</v>
      </c>
      <c r="F13" s="76" t="s">
        <v>274</v>
      </c>
      <c r="G13" s="76" t="s">
        <v>274</v>
      </c>
      <c r="H13" s="76" t="s">
        <v>274</v>
      </c>
      <c r="I13" s="76" t="s">
        <v>274</v>
      </c>
      <c r="J13" s="76"/>
      <c r="K13" s="76" t="s">
        <v>274</v>
      </c>
      <c r="L13" s="76" t="s">
        <v>274</v>
      </c>
      <c r="M13" s="76" t="s">
        <v>273</v>
      </c>
      <c r="N13" s="76" t="s">
        <v>274</v>
      </c>
      <c r="O13" s="76"/>
      <c r="P13" s="76" t="s">
        <v>274</v>
      </c>
      <c r="Q13" s="76" t="s">
        <v>274</v>
      </c>
      <c r="R13" s="76" t="s">
        <v>274</v>
      </c>
      <c r="S13" s="76" t="s">
        <v>275</v>
      </c>
      <c r="T13" s="76" t="s">
        <v>274</v>
      </c>
      <c r="U13" s="76" t="s">
        <v>275</v>
      </c>
      <c r="V13" s="76" t="s">
        <v>274</v>
      </c>
      <c r="W13" s="76" t="s">
        <v>274</v>
      </c>
      <c r="X13" s="76" t="s">
        <v>274</v>
      </c>
      <c r="Y13" s="76" t="s">
        <v>274</v>
      </c>
      <c r="Z13" s="76" t="s">
        <v>274</v>
      </c>
      <c r="AA13" s="76" t="s">
        <v>274</v>
      </c>
      <c r="AB13" s="76" t="s">
        <v>274</v>
      </c>
      <c r="AC13" s="76" t="s">
        <v>274</v>
      </c>
      <c r="AD13" s="76" t="s">
        <v>274</v>
      </c>
      <c r="AE13" s="76" t="s">
        <v>274</v>
      </c>
      <c r="AF13" s="76"/>
      <c r="AG13" s="76" t="s">
        <v>274</v>
      </c>
      <c r="AH13" s="76" t="s">
        <v>274</v>
      </c>
      <c r="AI13" s="76" t="s">
        <v>274</v>
      </c>
      <c r="AJ13" s="76" t="s">
        <v>273</v>
      </c>
      <c r="AK13" s="76" t="s">
        <v>274</v>
      </c>
      <c r="AL13" s="76" t="s">
        <v>274</v>
      </c>
      <c r="AM13" s="76" t="s">
        <v>274</v>
      </c>
      <c r="AN13" s="76" t="s">
        <v>274</v>
      </c>
      <c r="AO13" s="76" t="s">
        <v>274</v>
      </c>
      <c r="AP13" s="76" t="s">
        <v>274</v>
      </c>
    </row>
    <row r="14">
      <c r="C14" s="75" t="s">
        <v>386</v>
      </c>
      <c r="D14" s="85" t="s">
        <v>387</v>
      </c>
      <c r="E14" s="76" t="s">
        <v>274</v>
      </c>
      <c r="F14" s="76" t="s">
        <v>274</v>
      </c>
      <c r="G14" s="76" t="s">
        <v>274</v>
      </c>
      <c r="H14" s="76" t="s">
        <v>274</v>
      </c>
      <c r="I14" s="76" t="s">
        <v>274</v>
      </c>
      <c r="J14" s="76"/>
      <c r="K14" s="76" t="s">
        <v>274</v>
      </c>
      <c r="L14" s="76" t="s">
        <v>274</v>
      </c>
      <c r="M14" s="76" t="s">
        <v>273</v>
      </c>
      <c r="N14" s="76" t="s">
        <v>274</v>
      </c>
      <c r="O14" s="76"/>
      <c r="P14" s="76" t="s">
        <v>274</v>
      </c>
      <c r="Q14" s="76" t="s">
        <v>274</v>
      </c>
      <c r="R14" s="76" t="s">
        <v>274</v>
      </c>
      <c r="S14" s="76" t="s">
        <v>275</v>
      </c>
      <c r="T14" s="76" t="s">
        <v>274</v>
      </c>
      <c r="U14" s="76" t="s">
        <v>275</v>
      </c>
      <c r="V14" s="76" t="s">
        <v>274</v>
      </c>
      <c r="W14" s="76" t="s">
        <v>274</v>
      </c>
      <c r="X14" s="76" t="s">
        <v>274</v>
      </c>
      <c r="Y14" s="76" t="s">
        <v>274</v>
      </c>
      <c r="Z14" s="76" t="s">
        <v>274</v>
      </c>
      <c r="AA14" s="76" t="s">
        <v>274</v>
      </c>
      <c r="AB14" s="76" t="s">
        <v>274</v>
      </c>
      <c r="AC14" s="76" t="s">
        <v>274</v>
      </c>
      <c r="AD14" s="76" t="s">
        <v>274</v>
      </c>
      <c r="AE14" s="76" t="s">
        <v>274</v>
      </c>
      <c r="AF14" s="76"/>
      <c r="AG14" s="76" t="s">
        <v>274</v>
      </c>
      <c r="AH14" s="76" t="s">
        <v>274</v>
      </c>
      <c r="AI14" s="76" t="s">
        <v>274</v>
      </c>
      <c r="AJ14" s="76" t="s">
        <v>273</v>
      </c>
      <c r="AK14" s="76" t="s">
        <v>274</v>
      </c>
      <c r="AL14" s="76" t="s">
        <v>274</v>
      </c>
      <c r="AM14" s="76" t="s">
        <v>274</v>
      </c>
      <c r="AN14" s="76" t="s">
        <v>274</v>
      </c>
      <c r="AO14" s="76" t="s">
        <v>274</v>
      </c>
      <c r="AP14" s="76" t="s">
        <v>274</v>
      </c>
    </row>
    <row r="15">
      <c r="A15" s="71" t="s">
        <v>388</v>
      </c>
      <c r="B15" s="75" t="s">
        <v>464</v>
      </c>
      <c r="C15" s="75" t="s">
        <v>465</v>
      </c>
      <c r="D15" s="75" t="s">
        <v>466</v>
      </c>
      <c r="E15" s="76" t="s">
        <v>274</v>
      </c>
      <c r="F15" s="76" t="s">
        <v>274</v>
      </c>
      <c r="G15" s="76" t="s">
        <v>274</v>
      </c>
      <c r="H15" s="76" t="s">
        <v>274</v>
      </c>
      <c r="I15" s="76" t="s">
        <v>274</v>
      </c>
      <c r="J15" s="76"/>
      <c r="K15" s="76" t="s">
        <v>274</v>
      </c>
      <c r="L15" s="76" t="s">
        <v>274</v>
      </c>
      <c r="M15" s="76" t="s">
        <v>273</v>
      </c>
      <c r="N15" s="76" t="s">
        <v>274</v>
      </c>
      <c r="O15" s="76"/>
      <c r="P15" s="76" t="s">
        <v>274</v>
      </c>
      <c r="Q15" s="76" t="s">
        <v>274</v>
      </c>
      <c r="R15" s="76" t="s">
        <v>274</v>
      </c>
      <c r="S15" s="76" t="s">
        <v>275</v>
      </c>
      <c r="T15" s="76" t="s">
        <v>274</v>
      </c>
      <c r="U15" s="76" t="s">
        <v>275</v>
      </c>
      <c r="V15" s="76" t="s">
        <v>274</v>
      </c>
      <c r="W15" s="76" t="s">
        <v>274</v>
      </c>
      <c r="X15" s="76" t="s">
        <v>274</v>
      </c>
      <c r="Y15" s="76" t="s">
        <v>274</v>
      </c>
      <c r="Z15" s="76" t="s">
        <v>274</v>
      </c>
      <c r="AA15" s="76" t="s">
        <v>274</v>
      </c>
      <c r="AB15" s="76" t="s">
        <v>274</v>
      </c>
      <c r="AC15" s="76" t="s">
        <v>274</v>
      </c>
      <c r="AD15" s="76" t="s">
        <v>274</v>
      </c>
      <c r="AE15" s="76" t="s">
        <v>274</v>
      </c>
      <c r="AF15" s="76"/>
      <c r="AG15" s="76" t="s">
        <v>274</v>
      </c>
      <c r="AH15" s="76" t="s">
        <v>274</v>
      </c>
      <c r="AI15" s="76" t="s">
        <v>274</v>
      </c>
      <c r="AJ15" s="76" t="s">
        <v>273</v>
      </c>
      <c r="AK15" s="76" t="s">
        <v>274</v>
      </c>
      <c r="AL15" s="76" t="s">
        <v>274</v>
      </c>
      <c r="AM15" s="76" t="s">
        <v>274</v>
      </c>
      <c r="AN15" s="76" t="s">
        <v>274</v>
      </c>
      <c r="AO15" s="76" t="s">
        <v>274</v>
      </c>
      <c r="AP15" s="76" t="s">
        <v>274</v>
      </c>
    </row>
    <row r="16">
      <c r="D16" s="85" t="s">
        <v>392</v>
      </c>
      <c r="E16" s="76" t="s">
        <v>274</v>
      </c>
      <c r="F16" s="76" t="s">
        <v>274</v>
      </c>
      <c r="G16" s="76" t="s">
        <v>274</v>
      </c>
      <c r="H16" s="76" t="s">
        <v>274</v>
      </c>
      <c r="I16" s="76" t="s">
        <v>274</v>
      </c>
      <c r="J16" s="76"/>
      <c r="K16" s="76" t="s">
        <v>274</v>
      </c>
      <c r="L16" s="76" t="s">
        <v>274</v>
      </c>
      <c r="M16" s="76" t="s">
        <v>273</v>
      </c>
      <c r="N16" s="76" t="s">
        <v>274</v>
      </c>
      <c r="O16" s="76"/>
      <c r="P16" s="76" t="s">
        <v>274</v>
      </c>
      <c r="Q16" s="76" t="s">
        <v>274</v>
      </c>
      <c r="R16" s="76" t="s">
        <v>274</v>
      </c>
      <c r="S16" s="76" t="s">
        <v>275</v>
      </c>
      <c r="T16" s="76" t="s">
        <v>274</v>
      </c>
      <c r="U16" s="76" t="s">
        <v>275</v>
      </c>
      <c r="V16" s="76"/>
      <c r="W16" s="76" t="s">
        <v>274</v>
      </c>
      <c r="X16" s="76" t="s">
        <v>274</v>
      </c>
      <c r="Y16" s="76" t="s">
        <v>274</v>
      </c>
      <c r="Z16" s="76" t="s">
        <v>274</v>
      </c>
      <c r="AA16" s="76" t="s">
        <v>274</v>
      </c>
      <c r="AB16" s="76" t="s">
        <v>274</v>
      </c>
      <c r="AC16" s="76" t="s">
        <v>274</v>
      </c>
      <c r="AD16" s="76" t="s">
        <v>274</v>
      </c>
      <c r="AE16" s="76" t="s">
        <v>274</v>
      </c>
      <c r="AF16" s="76"/>
      <c r="AG16" s="76" t="s">
        <v>274</v>
      </c>
      <c r="AH16" s="76" t="s">
        <v>274</v>
      </c>
      <c r="AI16" s="76" t="s">
        <v>274</v>
      </c>
      <c r="AJ16" s="76" t="s">
        <v>273</v>
      </c>
      <c r="AK16" s="76" t="s">
        <v>274</v>
      </c>
      <c r="AL16" s="76" t="s">
        <v>274</v>
      </c>
      <c r="AM16" s="76" t="s">
        <v>274</v>
      </c>
      <c r="AN16" s="76" t="s">
        <v>274</v>
      </c>
      <c r="AO16" s="76" t="s">
        <v>274</v>
      </c>
      <c r="AP16" s="76" t="s">
        <v>274</v>
      </c>
    </row>
    <row r="17">
      <c r="B17" s="75" t="s">
        <v>464</v>
      </c>
      <c r="C17" s="75" t="s">
        <v>465</v>
      </c>
      <c r="D17" s="75" t="s">
        <v>467</v>
      </c>
      <c r="E17" s="76" t="s">
        <v>274</v>
      </c>
      <c r="F17" s="76" t="s">
        <v>274</v>
      </c>
      <c r="G17" s="76" t="s">
        <v>274</v>
      </c>
      <c r="H17" s="76" t="s">
        <v>274</v>
      </c>
      <c r="I17" s="76" t="s">
        <v>274</v>
      </c>
      <c r="J17" s="76" t="s">
        <v>274</v>
      </c>
      <c r="K17" s="76" t="s">
        <v>274</v>
      </c>
      <c r="L17" s="76" t="s">
        <v>274</v>
      </c>
      <c r="M17" s="76" t="s">
        <v>273</v>
      </c>
      <c r="N17" s="76" t="s">
        <v>274</v>
      </c>
      <c r="O17" s="76"/>
      <c r="P17" s="76" t="s">
        <v>274</v>
      </c>
      <c r="Q17" s="76" t="s">
        <v>274</v>
      </c>
      <c r="R17" s="76" t="s">
        <v>274</v>
      </c>
      <c r="S17" s="76" t="s">
        <v>275</v>
      </c>
      <c r="T17" s="76" t="s">
        <v>274</v>
      </c>
      <c r="U17" s="76" t="s">
        <v>275</v>
      </c>
      <c r="V17" s="76"/>
      <c r="W17" s="76" t="s">
        <v>274</v>
      </c>
      <c r="X17" s="76" t="s">
        <v>274</v>
      </c>
      <c r="Y17" s="76" t="s">
        <v>274</v>
      </c>
      <c r="Z17" s="76" t="s">
        <v>274</v>
      </c>
      <c r="AA17" s="76" t="s">
        <v>274</v>
      </c>
      <c r="AB17" s="76" t="s">
        <v>274</v>
      </c>
      <c r="AC17" s="76" t="s">
        <v>274</v>
      </c>
      <c r="AD17" s="76" t="s">
        <v>274</v>
      </c>
      <c r="AE17" s="76" t="s">
        <v>274</v>
      </c>
      <c r="AF17" s="76"/>
      <c r="AG17" s="76" t="s">
        <v>274</v>
      </c>
      <c r="AH17" s="76" t="s">
        <v>274</v>
      </c>
      <c r="AI17" s="76" t="s">
        <v>274</v>
      </c>
      <c r="AJ17" s="76" t="s">
        <v>273</v>
      </c>
      <c r="AK17" s="76" t="s">
        <v>274</v>
      </c>
      <c r="AL17" s="76" t="s">
        <v>274</v>
      </c>
      <c r="AM17" s="76" t="s">
        <v>274</v>
      </c>
      <c r="AN17" s="76" t="s">
        <v>274</v>
      </c>
      <c r="AO17" s="76" t="s">
        <v>274</v>
      </c>
      <c r="AP17" s="76" t="s">
        <v>274</v>
      </c>
    </row>
    <row r="18">
      <c r="A18" s="71" t="s">
        <v>393</v>
      </c>
      <c r="B18" s="75" t="s">
        <v>468</v>
      </c>
      <c r="C18" s="75" t="s">
        <v>469</v>
      </c>
      <c r="D18" s="75" t="s">
        <v>470</v>
      </c>
      <c r="E18" s="76" t="s">
        <v>274</v>
      </c>
      <c r="F18" s="76" t="s">
        <v>274</v>
      </c>
      <c r="G18" s="76" t="s">
        <v>274</v>
      </c>
      <c r="H18" s="76" t="s">
        <v>274</v>
      </c>
      <c r="I18" s="76" t="s">
        <v>274</v>
      </c>
      <c r="J18" s="76" t="s">
        <v>274</v>
      </c>
      <c r="K18" s="76" t="s">
        <v>274</v>
      </c>
      <c r="L18" s="76" t="s">
        <v>274</v>
      </c>
      <c r="M18" s="76" t="s">
        <v>273</v>
      </c>
      <c r="N18" s="76" t="s">
        <v>274</v>
      </c>
      <c r="O18" s="76"/>
      <c r="P18" s="76" t="s">
        <v>274</v>
      </c>
      <c r="Q18" s="76" t="s">
        <v>274</v>
      </c>
      <c r="R18" s="76" t="s">
        <v>274</v>
      </c>
      <c r="S18" s="76" t="s">
        <v>275</v>
      </c>
      <c r="T18" s="76" t="s">
        <v>274</v>
      </c>
      <c r="U18" s="76" t="s">
        <v>275</v>
      </c>
      <c r="V18" s="76"/>
      <c r="W18" s="76" t="s">
        <v>274</v>
      </c>
      <c r="X18" s="76" t="s">
        <v>274</v>
      </c>
      <c r="Y18" s="76" t="s">
        <v>274</v>
      </c>
      <c r="Z18" s="76" t="s">
        <v>274</v>
      </c>
      <c r="AA18" s="76" t="s">
        <v>274</v>
      </c>
      <c r="AB18" s="76" t="s">
        <v>274</v>
      </c>
      <c r="AC18" s="76" t="s">
        <v>274</v>
      </c>
      <c r="AD18" s="76" t="s">
        <v>274</v>
      </c>
      <c r="AE18" s="76" t="s">
        <v>274</v>
      </c>
      <c r="AF18" s="76"/>
      <c r="AG18" s="76" t="s">
        <v>274</v>
      </c>
      <c r="AH18" s="76" t="s">
        <v>274</v>
      </c>
      <c r="AI18" s="76" t="s">
        <v>274</v>
      </c>
      <c r="AJ18" s="76" t="s">
        <v>273</v>
      </c>
      <c r="AK18" s="76" t="s">
        <v>274</v>
      </c>
      <c r="AL18" s="76" t="s">
        <v>274</v>
      </c>
      <c r="AM18" s="76" t="s">
        <v>274</v>
      </c>
      <c r="AN18" s="76" t="s">
        <v>274</v>
      </c>
      <c r="AO18" s="76" t="s">
        <v>274</v>
      </c>
      <c r="AP18" s="76" t="s">
        <v>274</v>
      </c>
    </row>
    <row r="19">
      <c r="A19" s="71" t="s">
        <v>397</v>
      </c>
      <c r="B19" s="75" t="s">
        <v>398</v>
      </c>
      <c r="C19" s="75" t="s">
        <v>471</v>
      </c>
      <c r="D19" s="75" t="s">
        <v>472</v>
      </c>
      <c r="E19" s="76" t="s">
        <v>273</v>
      </c>
      <c r="F19" s="76" t="s">
        <v>273</v>
      </c>
      <c r="G19" s="76" t="s">
        <v>273</v>
      </c>
      <c r="H19" s="76" t="s">
        <v>273</v>
      </c>
      <c r="I19" s="76" t="s">
        <v>273</v>
      </c>
      <c r="J19" s="76" t="s">
        <v>273</v>
      </c>
      <c r="K19" s="76" t="s">
        <v>273</v>
      </c>
      <c r="L19" s="76" t="s">
        <v>274</v>
      </c>
      <c r="M19" s="76" t="s">
        <v>273</v>
      </c>
      <c r="N19" s="76" t="s">
        <v>274</v>
      </c>
      <c r="O19" s="76"/>
      <c r="P19" s="76"/>
      <c r="Q19" s="76" t="s">
        <v>473</v>
      </c>
      <c r="R19" s="76" t="s">
        <v>473</v>
      </c>
      <c r="S19" s="76" t="s">
        <v>275</v>
      </c>
      <c r="T19" s="76" t="s">
        <v>274</v>
      </c>
      <c r="U19" s="76" t="s">
        <v>275</v>
      </c>
      <c r="V19" s="76"/>
      <c r="W19" s="76" t="s">
        <v>473</v>
      </c>
      <c r="X19" s="76" t="s">
        <v>273</v>
      </c>
      <c r="Y19" s="76" t="s">
        <v>274</v>
      </c>
      <c r="Z19" s="76" t="s">
        <v>274</v>
      </c>
      <c r="AA19" s="76" t="s">
        <v>274</v>
      </c>
      <c r="AB19" s="76" t="s">
        <v>274</v>
      </c>
      <c r="AC19" s="76" t="s">
        <v>274</v>
      </c>
      <c r="AD19" s="76" t="s">
        <v>274</v>
      </c>
      <c r="AE19" s="76" t="s">
        <v>274</v>
      </c>
      <c r="AF19" s="76"/>
      <c r="AG19" s="76" t="s">
        <v>274</v>
      </c>
      <c r="AH19" s="76" t="s">
        <v>274</v>
      </c>
      <c r="AI19" s="76" t="s">
        <v>274</v>
      </c>
      <c r="AJ19" s="76" t="s">
        <v>273</v>
      </c>
      <c r="AK19" s="76" t="s">
        <v>274</v>
      </c>
      <c r="AL19" s="76" t="s">
        <v>274</v>
      </c>
      <c r="AM19" s="76" t="s">
        <v>274</v>
      </c>
      <c r="AN19" s="76" t="s">
        <v>274</v>
      </c>
      <c r="AO19" s="76" t="s">
        <v>274</v>
      </c>
      <c r="AP19" s="76" t="s">
        <v>274</v>
      </c>
    </row>
    <row r="20">
      <c r="B20" s="75" t="s">
        <v>398</v>
      </c>
      <c r="C20" s="75" t="s">
        <v>474</v>
      </c>
      <c r="D20" s="75" t="s">
        <v>475</v>
      </c>
      <c r="E20" s="76" t="s">
        <v>273</v>
      </c>
      <c r="F20" s="76" t="s">
        <v>273</v>
      </c>
      <c r="G20" s="76" t="s">
        <v>273</v>
      </c>
      <c r="H20" s="76" t="s">
        <v>273</v>
      </c>
      <c r="I20" s="76" t="s">
        <v>273</v>
      </c>
      <c r="J20" s="76" t="s">
        <v>273</v>
      </c>
      <c r="K20" s="76" t="s">
        <v>273</v>
      </c>
      <c r="L20" s="76" t="s">
        <v>274</v>
      </c>
      <c r="M20" s="76" t="s">
        <v>273</v>
      </c>
      <c r="N20" s="76" t="s">
        <v>274</v>
      </c>
      <c r="O20" s="76"/>
      <c r="P20" s="76"/>
      <c r="Q20" s="76" t="s">
        <v>473</v>
      </c>
      <c r="R20" s="76" t="s">
        <v>473</v>
      </c>
      <c r="S20" s="76" t="s">
        <v>275</v>
      </c>
      <c r="T20" s="76" t="s">
        <v>274</v>
      </c>
      <c r="U20" s="76" t="s">
        <v>275</v>
      </c>
      <c r="V20" s="76"/>
      <c r="W20" s="76" t="s">
        <v>473</v>
      </c>
      <c r="X20" s="76" t="s">
        <v>273</v>
      </c>
      <c r="Y20" s="76" t="s">
        <v>274</v>
      </c>
      <c r="Z20" s="76" t="s">
        <v>274</v>
      </c>
      <c r="AA20" s="76" t="s">
        <v>274</v>
      </c>
      <c r="AB20" s="76" t="s">
        <v>274</v>
      </c>
      <c r="AC20" s="76" t="s">
        <v>274</v>
      </c>
      <c r="AD20" s="76" t="s">
        <v>274</v>
      </c>
      <c r="AE20" s="76" t="s">
        <v>274</v>
      </c>
      <c r="AF20" s="76"/>
      <c r="AG20" s="76" t="s">
        <v>274</v>
      </c>
      <c r="AH20" s="76" t="s">
        <v>274</v>
      </c>
      <c r="AI20" s="76" t="s">
        <v>274</v>
      </c>
      <c r="AJ20" s="76" t="s">
        <v>273</v>
      </c>
      <c r="AK20" s="76" t="s">
        <v>274</v>
      </c>
      <c r="AL20" s="76" t="s">
        <v>274</v>
      </c>
      <c r="AM20" s="76" t="s">
        <v>274</v>
      </c>
      <c r="AN20" s="76" t="s">
        <v>274</v>
      </c>
      <c r="AO20" s="76" t="s">
        <v>274</v>
      </c>
      <c r="AP20" s="76" t="s">
        <v>274</v>
      </c>
    </row>
    <row r="21">
      <c r="B21" s="75" t="s">
        <v>398</v>
      </c>
      <c r="C21" s="75" t="s">
        <v>476</v>
      </c>
      <c r="D21" s="85" t="s">
        <v>477</v>
      </c>
      <c r="E21" s="76" t="s">
        <v>273</v>
      </c>
      <c r="F21" s="76" t="s">
        <v>273</v>
      </c>
      <c r="G21" s="76" t="s">
        <v>273</v>
      </c>
      <c r="H21" s="76" t="s">
        <v>273</v>
      </c>
      <c r="I21" s="76" t="s">
        <v>274</v>
      </c>
      <c r="J21" s="76"/>
      <c r="K21" s="76" t="s">
        <v>274</v>
      </c>
      <c r="L21" s="76" t="s">
        <v>274</v>
      </c>
      <c r="M21" s="76" t="s">
        <v>273</v>
      </c>
      <c r="N21" s="76" t="s">
        <v>274</v>
      </c>
      <c r="O21" s="76"/>
      <c r="P21" s="76"/>
      <c r="Q21" s="76" t="s">
        <v>274</v>
      </c>
      <c r="R21" s="76" t="s">
        <v>274</v>
      </c>
      <c r="S21" s="76" t="s">
        <v>275</v>
      </c>
      <c r="T21" s="76" t="s">
        <v>274</v>
      </c>
      <c r="U21" s="76" t="s">
        <v>275</v>
      </c>
      <c r="V21" s="76"/>
      <c r="W21" s="76" t="s">
        <v>274</v>
      </c>
      <c r="X21" s="76" t="s">
        <v>274</v>
      </c>
      <c r="Y21" s="76" t="s">
        <v>274</v>
      </c>
      <c r="Z21" s="76" t="s">
        <v>274</v>
      </c>
      <c r="AA21" s="76" t="s">
        <v>274</v>
      </c>
      <c r="AB21" s="76" t="s">
        <v>274</v>
      </c>
      <c r="AC21" s="76" t="s">
        <v>274</v>
      </c>
      <c r="AD21" s="76" t="s">
        <v>274</v>
      </c>
      <c r="AE21" s="76" t="s">
        <v>274</v>
      </c>
      <c r="AF21" s="76"/>
      <c r="AG21" s="76" t="s">
        <v>274</v>
      </c>
      <c r="AH21" s="76" t="s">
        <v>274</v>
      </c>
      <c r="AI21" s="76" t="s">
        <v>274</v>
      </c>
      <c r="AJ21" s="76" t="s">
        <v>273</v>
      </c>
      <c r="AK21" s="76" t="s">
        <v>274</v>
      </c>
      <c r="AL21" s="76" t="s">
        <v>274</v>
      </c>
      <c r="AM21" s="76" t="s">
        <v>274</v>
      </c>
      <c r="AN21" s="76" t="s">
        <v>274</v>
      </c>
      <c r="AO21" s="76" t="s">
        <v>274</v>
      </c>
      <c r="AP21" s="76" t="s">
        <v>274</v>
      </c>
    </row>
    <row r="22">
      <c r="B22" s="75" t="s">
        <v>398</v>
      </c>
      <c r="C22" s="75" t="s">
        <v>478</v>
      </c>
      <c r="D22" s="85" t="s">
        <v>479</v>
      </c>
      <c r="E22" s="76" t="s">
        <v>273</v>
      </c>
      <c r="F22" s="76" t="s">
        <v>273</v>
      </c>
      <c r="G22" s="76" t="s">
        <v>273</v>
      </c>
      <c r="H22" s="76" t="s">
        <v>273</v>
      </c>
      <c r="I22" s="76" t="s">
        <v>274</v>
      </c>
      <c r="J22" s="76"/>
      <c r="K22" s="76" t="s">
        <v>274</v>
      </c>
      <c r="L22" s="76" t="s">
        <v>274</v>
      </c>
      <c r="M22" s="76" t="s">
        <v>273</v>
      </c>
      <c r="N22" s="76" t="s">
        <v>274</v>
      </c>
      <c r="O22" s="76"/>
      <c r="P22" s="76"/>
      <c r="Q22" s="76" t="s">
        <v>274</v>
      </c>
      <c r="R22" s="76" t="s">
        <v>274</v>
      </c>
      <c r="S22" s="76" t="s">
        <v>275</v>
      </c>
      <c r="T22" s="76" t="s">
        <v>274</v>
      </c>
      <c r="U22" s="76" t="s">
        <v>275</v>
      </c>
      <c r="V22" s="76"/>
      <c r="W22" s="76" t="s">
        <v>274</v>
      </c>
      <c r="X22" s="76" t="s">
        <v>274</v>
      </c>
      <c r="Y22" s="76" t="s">
        <v>274</v>
      </c>
      <c r="Z22" s="76" t="s">
        <v>274</v>
      </c>
      <c r="AA22" s="76" t="s">
        <v>274</v>
      </c>
      <c r="AB22" s="76" t="s">
        <v>274</v>
      </c>
      <c r="AC22" s="76" t="s">
        <v>274</v>
      </c>
      <c r="AD22" s="76" t="s">
        <v>274</v>
      </c>
      <c r="AE22" s="76" t="s">
        <v>274</v>
      </c>
      <c r="AF22" s="76"/>
      <c r="AG22" s="76" t="s">
        <v>274</v>
      </c>
      <c r="AH22" s="76" t="s">
        <v>274</v>
      </c>
      <c r="AI22" s="76" t="s">
        <v>274</v>
      </c>
      <c r="AJ22" s="76" t="s">
        <v>273</v>
      </c>
      <c r="AK22" s="76" t="s">
        <v>274</v>
      </c>
      <c r="AL22" s="76" t="s">
        <v>274</v>
      </c>
      <c r="AM22" s="76" t="s">
        <v>274</v>
      </c>
      <c r="AN22" s="76" t="s">
        <v>274</v>
      </c>
      <c r="AO22" s="76" t="s">
        <v>274</v>
      </c>
      <c r="AP22" s="76" t="s">
        <v>274</v>
      </c>
    </row>
    <row r="23">
      <c r="A23" s="86" t="s">
        <v>403</v>
      </c>
      <c r="B23" s="87" t="s">
        <v>404</v>
      </c>
      <c r="C23" s="87" t="s">
        <v>405</v>
      </c>
      <c r="D23" s="87" t="s">
        <v>480</v>
      </c>
      <c r="E23" s="88" t="s">
        <v>274</v>
      </c>
      <c r="F23" s="88" t="s">
        <v>274</v>
      </c>
      <c r="G23" s="88" t="s">
        <v>275</v>
      </c>
      <c r="H23" s="88" t="s">
        <v>275</v>
      </c>
      <c r="I23" s="88"/>
      <c r="J23" s="88"/>
      <c r="K23" s="88" t="s">
        <v>275</v>
      </c>
      <c r="L23" s="76" t="s">
        <v>274</v>
      </c>
      <c r="M23" s="76" t="s">
        <v>273</v>
      </c>
      <c r="N23" s="76" t="s">
        <v>274</v>
      </c>
      <c r="O23" s="76"/>
      <c r="P23" s="76"/>
      <c r="Q23" s="76" t="s">
        <v>274</v>
      </c>
      <c r="R23" s="76" t="s">
        <v>274</v>
      </c>
      <c r="S23" s="76" t="s">
        <v>275</v>
      </c>
      <c r="T23" s="76" t="s">
        <v>274</v>
      </c>
      <c r="U23" s="76" t="s">
        <v>275</v>
      </c>
      <c r="V23" s="76"/>
      <c r="W23" s="76" t="s">
        <v>274</v>
      </c>
      <c r="X23" s="76" t="s">
        <v>273</v>
      </c>
      <c r="Y23" s="76" t="s">
        <v>274</v>
      </c>
      <c r="Z23" s="76" t="s">
        <v>274</v>
      </c>
      <c r="AA23" s="76" t="s">
        <v>274</v>
      </c>
      <c r="AB23" s="76" t="s">
        <v>274</v>
      </c>
      <c r="AC23" s="76" t="s">
        <v>274</v>
      </c>
      <c r="AD23" s="76" t="s">
        <v>274</v>
      </c>
      <c r="AE23" s="76" t="s">
        <v>274</v>
      </c>
      <c r="AF23" s="76"/>
      <c r="AG23" s="76" t="s">
        <v>274</v>
      </c>
      <c r="AH23" s="76" t="s">
        <v>274</v>
      </c>
      <c r="AI23" s="76" t="s">
        <v>274</v>
      </c>
      <c r="AJ23" s="76" t="s">
        <v>273</v>
      </c>
      <c r="AK23" s="76" t="s">
        <v>274</v>
      </c>
      <c r="AL23" s="76" t="s">
        <v>274</v>
      </c>
      <c r="AM23" s="76" t="s">
        <v>274</v>
      </c>
      <c r="AN23" s="76" t="s">
        <v>274</v>
      </c>
      <c r="AO23" s="76" t="s">
        <v>274</v>
      </c>
      <c r="AP23" s="76" t="s">
        <v>274</v>
      </c>
    </row>
    <row r="24">
      <c r="C24" s="75" t="s">
        <v>407</v>
      </c>
      <c r="D24" s="85" t="s">
        <v>481</v>
      </c>
      <c r="E24" s="76" t="s">
        <v>274</v>
      </c>
      <c r="F24" s="76" t="s">
        <v>274</v>
      </c>
      <c r="G24" s="76" t="s">
        <v>275</v>
      </c>
      <c r="H24" s="76" t="s">
        <v>275</v>
      </c>
      <c r="I24" s="76"/>
      <c r="J24" s="76"/>
      <c r="K24" s="76" t="s">
        <v>275</v>
      </c>
      <c r="L24" s="76" t="s">
        <v>274</v>
      </c>
      <c r="M24" s="76" t="s">
        <v>273</v>
      </c>
      <c r="N24" s="76" t="s">
        <v>274</v>
      </c>
      <c r="O24" s="76"/>
      <c r="P24" s="76"/>
      <c r="Q24" s="76" t="s">
        <v>274</v>
      </c>
      <c r="R24" s="76" t="s">
        <v>274</v>
      </c>
      <c r="S24" s="76" t="s">
        <v>275</v>
      </c>
      <c r="T24" s="76" t="s">
        <v>274</v>
      </c>
      <c r="U24" s="76" t="s">
        <v>275</v>
      </c>
      <c r="V24" s="76"/>
      <c r="W24" s="76" t="s">
        <v>274</v>
      </c>
      <c r="X24" s="76" t="s">
        <v>273</v>
      </c>
      <c r="Y24" s="76" t="s">
        <v>274</v>
      </c>
      <c r="Z24" s="76" t="s">
        <v>274</v>
      </c>
      <c r="AA24" s="76" t="s">
        <v>274</v>
      </c>
      <c r="AB24" s="76" t="s">
        <v>274</v>
      </c>
      <c r="AC24" s="76" t="s">
        <v>274</v>
      </c>
      <c r="AD24" s="76" t="s">
        <v>274</v>
      </c>
      <c r="AE24" s="76" t="s">
        <v>274</v>
      </c>
      <c r="AF24" s="76"/>
      <c r="AG24" s="76" t="s">
        <v>274</v>
      </c>
      <c r="AH24" s="76" t="s">
        <v>274</v>
      </c>
      <c r="AI24" s="76" t="s">
        <v>274</v>
      </c>
      <c r="AJ24" s="76" t="s">
        <v>273</v>
      </c>
      <c r="AK24" s="76" t="s">
        <v>274</v>
      </c>
      <c r="AL24" s="76" t="s">
        <v>274</v>
      </c>
      <c r="AM24" s="76" t="s">
        <v>274</v>
      </c>
      <c r="AN24" s="76" t="s">
        <v>274</v>
      </c>
      <c r="AO24" s="76" t="s">
        <v>274</v>
      </c>
      <c r="AP24" s="76" t="s">
        <v>274</v>
      </c>
    </row>
    <row r="25">
      <c r="C25" s="75" t="s">
        <v>409</v>
      </c>
      <c r="D25" s="75" t="s">
        <v>482</v>
      </c>
      <c r="E25" s="76" t="s">
        <v>273</v>
      </c>
      <c r="F25" s="76" t="s">
        <v>273</v>
      </c>
      <c r="G25" s="76" t="s">
        <v>275</v>
      </c>
      <c r="H25" s="76" t="s">
        <v>275</v>
      </c>
      <c r="I25" s="76"/>
      <c r="J25" s="76"/>
      <c r="K25" s="76" t="s">
        <v>275</v>
      </c>
      <c r="L25" s="76" t="s">
        <v>274</v>
      </c>
      <c r="M25" s="76" t="s">
        <v>273</v>
      </c>
      <c r="N25" s="76" t="s">
        <v>274</v>
      </c>
      <c r="O25" s="76"/>
      <c r="P25" s="76"/>
      <c r="Q25" s="76" t="s">
        <v>274</v>
      </c>
      <c r="R25" s="76" t="s">
        <v>274</v>
      </c>
      <c r="S25" s="76" t="s">
        <v>275</v>
      </c>
      <c r="T25" s="76" t="s">
        <v>274</v>
      </c>
      <c r="U25" s="76" t="s">
        <v>275</v>
      </c>
      <c r="V25" s="76"/>
      <c r="W25" s="76" t="s">
        <v>274</v>
      </c>
      <c r="X25" s="76" t="s">
        <v>273</v>
      </c>
      <c r="Y25" s="76" t="s">
        <v>274</v>
      </c>
      <c r="Z25" s="76" t="s">
        <v>274</v>
      </c>
      <c r="AA25" s="76" t="s">
        <v>274</v>
      </c>
      <c r="AB25" s="76" t="s">
        <v>274</v>
      </c>
      <c r="AC25" s="76" t="s">
        <v>274</v>
      </c>
      <c r="AD25" s="76" t="s">
        <v>274</v>
      </c>
      <c r="AE25" s="76" t="s">
        <v>274</v>
      </c>
      <c r="AF25" s="76"/>
      <c r="AG25" s="76" t="s">
        <v>274</v>
      </c>
      <c r="AH25" s="76" t="s">
        <v>274</v>
      </c>
      <c r="AI25" s="76" t="s">
        <v>274</v>
      </c>
      <c r="AJ25" s="76" t="s">
        <v>273</v>
      </c>
      <c r="AK25" s="76" t="s">
        <v>274</v>
      </c>
      <c r="AL25" s="76" t="s">
        <v>274</v>
      </c>
      <c r="AM25" s="76" t="s">
        <v>274</v>
      </c>
      <c r="AN25" s="76" t="s">
        <v>274</v>
      </c>
      <c r="AO25" s="76" t="s">
        <v>274</v>
      </c>
      <c r="AP25" s="76" t="s">
        <v>274</v>
      </c>
    </row>
    <row r="26">
      <c r="B26" s="75" t="s">
        <v>411</v>
      </c>
      <c r="C26" s="75" t="s">
        <v>412</v>
      </c>
      <c r="D26" s="85" t="s">
        <v>483</v>
      </c>
      <c r="E26" s="76" t="s">
        <v>274</v>
      </c>
      <c r="F26" s="76" t="s">
        <v>274</v>
      </c>
      <c r="G26" s="76" t="s">
        <v>275</v>
      </c>
      <c r="H26" s="76" t="s">
        <v>275</v>
      </c>
      <c r="I26" s="76"/>
      <c r="J26" s="76"/>
      <c r="K26" s="76" t="s">
        <v>275</v>
      </c>
      <c r="L26" s="76" t="s">
        <v>274</v>
      </c>
      <c r="M26" s="76" t="s">
        <v>273</v>
      </c>
      <c r="N26" s="76" t="s">
        <v>274</v>
      </c>
      <c r="O26" s="76"/>
      <c r="P26" s="76"/>
      <c r="Q26" s="76" t="s">
        <v>274</v>
      </c>
      <c r="R26" s="76" t="s">
        <v>274</v>
      </c>
      <c r="S26" s="76" t="s">
        <v>275</v>
      </c>
      <c r="T26" s="76" t="s">
        <v>274</v>
      </c>
      <c r="U26" s="76" t="s">
        <v>275</v>
      </c>
      <c r="V26" s="76"/>
      <c r="W26" s="76" t="s">
        <v>274</v>
      </c>
      <c r="X26" s="76" t="s">
        <v>273</v>
      </c>
      <c r="Y26" s="76" t="s">
        <v>274</v>
      </c>
      <c r="Z26" s="76" t="s">
        <v>274</v>
      </c>
      <c r="AA26" s="76" t="s">
        <v>274</v>
      </c>
      <c r="AB26" s="76" t="s">
        <v>274</v>
      </c>
      <c r="AC26" s="76" t="s">
        <v>274</v>
      </c>
      <c r="AD26" s="76" t="s">
        <v>274</v>
      </c>
      <c r="AE26" s="76" t="s">
        <v>274</v>
      </c>
      <c r="AF26" s="76"/>
      <c r="AG26" s="76" t="s">
        <v>274</v>
      </c>
      <c r="AH26" s="76" t="s">
        <v>274</v>
      </c>
      <c r="AI26" s="76" t="s">
        <v>274</v>
      </c>
      <c r="AJ26" s="76" t="s">
        <v>273</v>
      </c>
      <c r="AK26" s="76" t="s">
        <v>274</v>
      </c>
      <c r="AL26" s="76" t="s">
        <v>274</v>
      </c>
      <c r="AM26" s="76" t="s">
        <v>274</v>
      </c>
      <c r="AN26" s="76" t="s">
        <v>274</v>
      </c>
      <c r="AO26" s="76" t="s">
        <v>274</v>
      </c>
      <c r="AP26" s="76" t="s">
        <v>274</v>
      </c>
    </row>
    <row r="27">
      <c r="C27" s="75" t="s">
        <v>414</v>
      </c>
      <c r="D27" s="85" t="s">
        <v>484</v>
      </c>
      <c r="E27" s="76" t="s">
        <v>274</v>
      </c>
      <c r="F27" s="76" t="s">
        <v>274</v>
      </c>
      <c r="G27" s="76" t="s">
        <v>275</v>
      </c>
      <c r="H27" s="76" t="s">
        <v>275</v>
      </c>
      <c r="I27" s="76"/>
      <c r="J27" s="76"/>
      <c r="K27" s="76" t="s">
        <v>275</v>
      </c>
      <c r="L27" s="76" t="s">
        <v>274</v>
      </c>
      <c r="M27" s="76" t="s">
        <v>273</v>
      </c>
      <c r="N27" s="76" t="s">
        <v>274</v>
      </c>
      <c r="O27" s="76"/>
      <c r="P27" s="76"/>
      <c r="Q27" s="76" t="s">
        <v>485</v>
      </c>
      <c r="R27" s="76" t="s">
        <v>485</v>
      </c>
      <c r="S27" s="76" t="s">
        <v>275</v>
      </c>
      <c r="T27" s="76" t="s">
        <v>274</v>
      </c>
      <c r="U27" s="76" t="s">
        <v>275</v>
      </c>
      <c r="V27" s="76"/>
      <c r="W27" s="76" t="s">
        <v>274</v>
      </c>
      <c r="X27" s="76" t="s">
        <v>273</v>
      </c>
      <c r="Y27" s="76" t="s">
        <v>274</v>
      </c>
      <c r="Z27" s="76" t="s">
        <v>274</v>
      </c>
      <c r="AA27" s="76" t="s">
        <v>274</v>
      </c>
      <c r="AB27" s="76" t="s">
        <v>274</v>
      </c>
      <c r="AC27" s="76" t="s">
        <v>274</v>
      </c>
      <c r="AD27" s="76" t="s">
        <v>274</v>
      </c>
      <c r="AE27" s="76" t="s">
        <v>274</v>
      </c>
      <c r="AF27" s="76"/>
      <c r="AG27" s="76" t="s">
        <v>274</v>
      </c>
      <c r="AH27" s="76" t="s">
        <v>274</v>
      </c>
      <c r="AI27" s="76" t="s">
        <v>274</v>
      </c>
      <c r="AJ27" s="76" t="s">
        <v>273</v>
      </c>
      <c r="AK27" s="76" t="s">
        <v>274</v>
      </c>
      <c r="AL27" s="76" t="s">
        <v>274</v>
      </c>
      <c r="AM27" s="76" t="s">
        <v>274</v>
      </c>
      <c r="AN27" s="76" t="s">
        <v>274</v>
      </c>
      <c r="AO27" s="76" t="s">
        <v>274</v>
      </c>
      <c r="AP27" s="76" t="s">
        <v>274</v>
      </c>
    </row>
    <row r="28">
      <c r="C28" s="75" t="s">
        <v>416</v>
      </c>
      <c r="D28" s="85" t="s">
        <v>417</v>
      </c>
      <c r="E28" s="76" t="s">
        <v>273</v>
      </c>
      <c r="F28" s="76" t="s">
        <v>273</v>
      </c>
      <c r="G28" s="76" t="s">
        <v>275</v>
      </c>
      <c r="H28" s="76" t="s">
        <v>275</v>
      </c>
      <c r="I28" s="76"/>
      <c r="J28" s="76"/>
      <c r="K28" s="76" t="s">
        <v>275</v>
      </c>
      <c r="L28" s="76" t="s">
        <v>273</v>
      </c>
      <c r="M28" s="76" t="s">
        <v>273</v>
      </c>
      <c r="N28" s="76" t="s">
        <v>273</v>
      </c>
      <c r="O28" s="76"/>
      <c r="P28" s="76"/>
      <c r="Q28" s="76" t="s">
        <v>273</v>
      </c>
      <c r="R28" s="76" t="s">
        <v>273</v>
      </c>
      <c r="S28" s="76" t="s">
        <v>275</v>
      </c>
      <c r="T28" s="76" t="s">
        <v>275</v>
      </c>
      <c r="U28" s="76" t="s">
        <v>275</v>
      </c>
      <c r="V28" s="76"/>
      <c r="W28" s="76" t="s">
        <v>275</v>
      </c>
      <c r="X28" s="76" t="s">
        <v>275</v>
      </c>
      <c r="Y28" s="76" t="s">
        <v>275</v>
      </c>
      <c r="Z28" s="76" t="s">
        <v>275</v>
      </c>
      <c r="AA28" s="76" t="s">
        <v>275</v>
      </c>
      <c r="AB28" s="76" t="s">
        <v>275</v>
      </c>
      <c r="AC28" s="76" t="s">
        <v>275</v>
      </c>
      <c r="AD28" s="76" t="s">
        <v>275</v>
      </c>
      <c r="AE28" s="76" t="s">
        <v>275</v>
      </c>
      <c r="AF28" s="76"/>
      <c r="AG28" s="76" t="s">
        <v>275</v>
      </c>
      <c r="AH28" s="76" t="s">
        <v>273</v>
      </c>
      <c r="AI28" s="76" t="s">
        <v>274</v>
      </c>
      <c r="AJ28" s="76" t="s">
        <v>273</v>
      </c>
      <c r="AK28" s="76" t="s">
        <v>274</v>
      </c>
      <c r="AL28" s="76" t="s">
        <v>274</v>
      </c>
      <c r="AM28" s="76" t="s">
        <v>274</v>
      </c>
      <c r="AN28" s="76" t="s">
        <v>274</v>
      </c>
      <c r="AO28" s="76" t="s">
        <v>274</v>
      </c>
      <c r="AP28" s="76" t="s">
        <v>274</v>
      </c>
    </row>
    <row r="29">
      <c r="C29" s="75" t="s">
        <v>418</v>
      </c>
      <c r="D29" s="85" t="s">
        <v>419</v>
      </c>
      <c r="E29" s="76" t="s">
        <v>274</v>
      </c>
      <c r="F29" s="76" t="s">
        <v>274</v>
      </c>
      <c r="G29" s="76" t="s">
        <v>275</v>
      </c>
      <c r="H29" s="76" t="s">
        <v>275</v>
      </c>
      <c r="I29" s="76"/>
      <c r="J29" s="76"/>
      <c r="K29" s="76" t="s">
        <v>275</v>
      </c>
      <c r="L29" s="76" t="s">
        <v>274</v>
      </c>
      <c r="M29" s="76" t="s">
        <v>273</v>
      </c>
      <c r="N29" s="76" t="s">
        <v>274</v>
      </c>
      <c r="O29" s="76"/>
      <c r="P29" s="76"/>
      <c r="Q29" s="76" t="s">
        <v>274</v>
      </c>
      <c r="R29" s="76" t="s">
        <v>274</v>
      </c>
      <c r="S29" s="76" t="s">
        <v>275</v>
      </c>
      <c r="T29" s="76" t="s">
        <v>274</v>
      </c>
      <c r="U29" s="76" t="s">
        <v>275</v>
      </c>
      <c r="V29" s="76"/>
      <c r="W29" s="76" t="s">
        <v>274</v>
      </c>
      <c r="X29" s="76" t="s">
        <v>273</v>
      </c>
      <c r="Y29" s="76" t="s">
        <v>274</v>
      </c>
      <c r="Z29" s="76" t="s">
        <v>274</v>
      </c>
      <c r="AA29" s="76" t="s">
        <v>274</v>
      </c>
      <c r="AB29" s="76" t="s">
        <v>274</v>
      </c>
      <c r="AC29" s="76" t="s">
        <v>274</v>
      </c>
      <c r="AD29" s="76" t="s">
        <v>274</v>
      </c>
      <c r="AE29" s="76" t="s">
        <v>274</v>
      </c>
      <c r="AF29" s="76"/>
      <c r="AG29" s="76" t="s">
        <v>274</v>
      </c>
      <c r="AH29" s="76" t="s">
        <v>274</v>
      </c>
      <c r="AI29" s="76" t="s">
        <v>274</v>
      </c>
      <c r="AJ29" s="76" t="s">
        <v>273</v>
      </c>
      <c r="AK29" s="76" t="s">
        <v>274</v>
      </c>
      <c r="AL29" s="76" t="s">
        <v>274</v>
      </c>
      <c r="AM29" s="76" t="s">
        <v>274</v>
      </c>
      <c r="AN29" s="76" t="s">
        <v>274</v>
      </c>
      <c r="AO29" s="76" t="s">
        <v>274</v>
      </c>
      <c r="AP29" s="76" t="s">
        <v>274</v>
      </c>
    </row>
    <row r="30">
      <c r="B30" s="75" t="s">
        <v>420</v>
      </c>
      <c r="C30" s="75" t="s">
        <v>486</v>
      </c>
      <c r="D30" s="85" t="s">
        <v>487</v>
      </c>
      <c r="E30" s="76" t="s">
        <v>273</v>
      </c>
      <c r="F30" s="76" t="s">
        <v>273</v>
      </c>
      <c r="G30" s="76" t="s">
        <v>275</v>
      </c>
      <c r="H30" s="76" t="s">
        <v>275</v>
      </c>
      <c r="I30" s="76"/>
      <c r="J30" s="76"/>
      <c r="K30" s="76" t="s">
        <v>275</v>
      </c>
      <c r="L30" s="76" t="s">
        <v>273</v>
      </c>
      <c r="M30" s="76" t="s">
        <v>273</v>
      </c>
      <c r="N30" s="76" t="s">
        <v>275</v>
      </c>
      <c r="O30" s="76"/>
      <c r="P30" s="76"/>
      <c r="Q30" s="76" t="s">
        <v>275</v>
      </c>
      <c r="R30" s="76" t="s">
        <v>275</v>
      </c>
      <c r="S30" s="76" t="s">
        <v>275</v>
      </c>
      <c r="T30" s="76" t="s">
        <v>275</v>
      </c>
      <c r="U30" s="76" t="s">
        <v>275</v>
      </c>
      <c r="V30" s="76"/>
      <c r="W30" s="76" t="s">
        <v>275</v>
      </c>
      <c r="X30" s="76" t="s">
        <v>275</v>
      </c>
      <c r="Y30" s="76" t="s">
        <v>275</v>
      </c>
      <c r="Z30" s="76" t="s">
        <v>275</v>
      </c>
      <c r="AA30" s="76" t="s">
        <v>275</v>
      </c>
      <c r="AB30" s="76" t="s">
        <v>275</v>
      </c>
      <c r="AC30" s="76" t="s">
        <v>275</v>
      </c>
      <c r="AD30" s="76" t="s">
        <v>275</v>
      </c>
      <c r="AE30" s="76" t="s">
        <v>275</v>
      </c>
      <c r="AF30" s="76"/>
      <c r="AG30" s="76" t="s">
        <v>275</v>
      </c>
      <c r="AH30" s="76" t="s">
        <v>275</v>
      </c>
      <c r="AI30" s="76" t="s">
        <v>275</v>
      </c>
      <c r="AJ30" s="76" t="s">
        <v>275</v>
      </c>
      <c r="AK30" s="76" t="s">
        <v>275</v>
      </c>
      <c r="AL30" s="76" t="s">
        <v>275</v>
      </c>
      <c r="AM30" s="76" t="s">
        <v>275</v>
      </c>
      <c r="AN30" s="76" t="s">
        <v>275</v>
      </c>
      <c r="AO30" s="76" t="s">
        <v>275</v>
      </c>
      <c r="AP30" s="76"/>
    </row>
    <row r="31">
      <c r="C31" s="75" t="s">
        <v>423</v>
      </c>
      <c r="D31" s="85" t="s">
        <v>488</v>
      </c>
      <c r="E31" s="76" t="s">
        <v>275</v>
      </c>
      <c r="F31" s="76" t="s">
        <v>275</v>
      </c>
      <c r="G31" s="76" t="s">
        <v>275</v>
      </c>
      <c r="H31" s="76" t="s">
        <v>275</v>
      </c>
      <c r="I31" s="76" t="s">
        <v>275</v>
      </c>
      <c r="J31" s="76" t="s">
        <v>275</v>
      </c>
      <c r="K31" s="76" t="s">
        <v>275</v>
      </c>
      <c r="L31" s="76" t="s">
        <v>275</v>
      </c>
      <c r="M31" s="76" t="s">
        <v>275</v>
      </c>
      <c r="N31" s="76" t="s">
        <v>275</v>
      </c>
      <c r="O31" s="76" t="s">
        <v>275</v>
      </c>
      <c r="P31" s="76" t="s">
        <v>275</v>
      </c>
      <c r="Q31" s="76" t="s">
        <v>275</v>
      </c>
      <c r="R31" s="76" t="s">
        <v>275</v>
      </c>
      <c r="S31" s="76" t="s">
        <v>275</v>
      </c>
      <c r="T31" s="76" t="s">
        <v>275</v>
      </c>
      <c r="U31" s="76" t="s">
        <v>275</v>
      </c>
      <c r="V31" s="76" t="s">
        <v>275</v>
      </c>
      <c r="W31" s="76" t="s">
        <v>275</v>
      </c>
      <c r="X31" s="76" t="s">
        <v>275</v>
      </c>
      <c r="Y31" s="76" t="s">
        <v>275</v>
      </c>
      <c r="Z31" s="76" t="s">
        <v>275</v>
      </c>
      <c r="AA31" s="76" t="s">
        <v>275</v>
      </c>
      <c r="AB31" s="76" t="s">
        <v>275</v>
      </c>
      <c r="AC31" s="76" t="s">
        <v>275</v>
      </c>
      <c r="AD31" s="76" t="s">
        <v>275</v>
      </c>
      <c r="AE31" s="76" t="s">
        <v>275</v>
      </c>
      <c r="AF31" s="76" t="s">
        <v>275</v>
      </c>
      <c r="AG31" s="76" t="s">
        <v>275</v>
      </c>
      <c r="AH31" s="76" t="s">
        <v>275</v>
      </c>
      <c r="AI31" s="76" t="s">
        <v>275</v>
      </c>
      <c r="AJ31" s="76" t="s">
        <v>275</v>
      </c>
      <c r="AK31" s="76" t="s">
        <v>275</v>
      </c>
      <c r="AL31" s="76" t="s">
        <v>275</v>
      </c>
      <c r="AM31" s="76" t="s">
        <v>275</v>
      </c>
      <c r="AN31" s="76" t="s">
        <v>275</v>
      </c>
      <c r="AO31" s="76" t="s">
        <v>275</v>
      </c>
      <c r="AP31" s="76"/>
    </row>
    <row r="32">
      <c r="C32" s="75" t="s">
        <v>489</v>
      </c>
      <c r="D32" s="85" t="s">
        <v>426</v>
      </c>
      <c r="E32" s="76" t="s">
        <v>273</v>
      </c>
      <c r="F32" s="76" t="s">
        <v>273</v>
      </c>
      <c r="G32" s="76" t="s">
        <v>275</v>
      </c>
      <c r="H32" s="76" t="s">
        <v>275</v>
      </c>
      <c r="I32" s="76"/>
      <c r="J32" s="76"/>
      <c r="K32" s="76" t="s">
        <v>275</v>
      </c>
      <c r="L32" s="76" t="s">
        <v>273</v>
      </c>
      <c r="M32" s="76" t="s">
        <v>273</v>
      </c>
      <c r="N32" s="76" t="s">
        <v>275</v>
      </c>
      <c r="O32" s="76"/>
      <c r="P32" s="76"/>
      <c r="Q32" s="76" t="s">
        <v>275</v>
      </c>
      <c r="R32" s="76" t="s">
        <v>275</v>
      </c>
      <c r="S32" s="76" t="s">
        <v>275</v>
      </c>
      <c r="T32" s="76" t="s">
        <v>275</v>
      </c>
      <c r="U32" s="76" t="s">
        <v>275</v>
      </c>
      <c r="V32" s="76"/>
      <c r="W32" s="76" t="s">
        <v>275</v>
      </c>
      <c r="X32" s="76" t="s">
        <v>275</v>
      </c>
      <c r="Y32" s="76" t="s">
        <v>275</v>
      </c>
      <c r="Z32" s="76" t="s">
        <v>275</v>
      </c>
      <c r="AA32" s="76" t="s">
        <v>275</v>
      </c>
      <c r="AB32" s="76" t="s">
        <v>275</v>
      </c>
      <c r="AC32" s="76" t="s">
        <v>275</v>
      </c>
      <c r="AD32" s="76" t="s">
        <v>275</v>
      </c>
      <c r="AE32" s="76" t="s">
        <v>275</v>
      </c>
      <c r="AF32" s="76"/>
      <c r="AG32" s="76" t="s">
        <v>275</v>
      </c>
      <c r="AH32" s="76" t="s">
        <v>275</v>
      </c>
      <c r="AI32" s="76" t="s">
        <v>275</v>
      </c>
      <c r="AJ32" s="76" t="s">
        <v>275</v>
      </c>
      <c r="AK32" s="76" t="s">
        <v>275</v>
      </c>
      <c r="AL32" s="76" t="s">
        <v>275</v>
      </c>
      <c r="AM32" s="76" t="s">
        <v>275</v>
      </c>
      <c r="AN32" s="76" t="s">
        <v>275</v>
      </c>
      <c r="AO32" s="76" t="s">
        <v>275</v>
      </c>
      <c r="AP32" s="76"/>
    </row>
    <row r="33">
      <c r="B33" s="75" t="s">
        <v>427</v>
      </c>
      <c r="C33" s="75" t="s">
        <v>428</v>
      </c>
      <c r="D33" s="85" t="s">
        <v>429</v>
      </c>
      <c r="E33" s="76" t="s">
        <v>273</v>
      </c>
      <c r="F33" s="76" t="s">
        <v>273</v>
      </c>
      <c r="G33" s="76" t="s">
        <v>275</v>
      </c>
      <c r="H33" s="76" t="s">
        <v>275</v>
      </c>
      <c r="I33" s="76"/>
      <c r="J33" s="76"/>
      <c r="K33" s="76" t="s">
        <v>275</v>
      </c>
      <c r="L33" s="76" t="s">
        <v>273</v>
      </c>
      <c r="M33" s="76" t="s">
        <v>273</v>
      </c>
      <c r="N33" s="76" t="s">
        <v>275</v>
      </c>
      <c r="O33" s="76"/>
      <c r="P33" s="76"/>
      <c r="Q33" s="76" t="s">
        <v>275</v>
      </c>
      <c r="R33" s="76" t="s">
        <v>275</v>
      </c>
      <c r="S33" s="76" t="s">
        <v>275</v>
      </c>
      <c r="T33" s="76" t="s">
        <v>274</v>
      </c>
      <c r="U33" s="76" t="s">
        <v>275</v>
      </c>
      <c r="V33" s="76"/>
      <c r="W33" s="76" t="s">
        <v>430</v>
      </c>
      <c r="X33" s="76" t="s">
        <v>275</v>
      </c>
      <c r="Y33" s="76" t="s">
        <v>275</v>
      </c>
      <c r="Z33" s="76" t="s">
        <v>275</v>
      </c>
      <c r="AA33" s="76" t="s">
        <v>275</v>
      </c>
      <c r="AB33" s="76" t="s">
        <v>275</v>
      </c>
      <c r="AC33" s="76" t="s">
        <v>275</v>
      </c>
      <c r="AD33" s="76" t="s">
        <v>275</v>
      </c>
      <c r="AE33" s="76" t="s">
        <v>275</v>
      </c>
      <c r="AF33" s="76"/>
      <c r="AG33" s="76" t="s">
        <v>274</v>
      </c>
      <c r="AH33" s="76" t="s">
        <v>274</v>
      </c>
      <c r="AI33" s="76" t="s">
        <v>274</v>
      </c>
      <c r="AJ33" s="76" t="s">
        <v>273</v>
      </c>
      <c r="AK33" s="76" t="s">
        <v>274</v>
      </c>
      <c r="AL33" s="76" t="s">
        <v>274</v>
      </c>
      <c r="AM33" s="76" t="s">
        <v>274</v>
      </c>
      <c r="AN33" s="76" t="s">
        <v>274</v>
      </c>
      <c r="AO33" s="76" t="s">
        <v>274</v>
      </c>
      <c r="AP33" s="76" t="s">
        <v>274</v>
      </c>
    </row>
    <row r="34">
      <c r="A34" s="71" t="s">
        <v>435</v>
      </c>
      <c r="B34" s="75" t="s">
        <v>490</v>
      </c>
      <c r="C34" s="75" t="s">
        <v>491</v>
      </c>
      <c r="D34" s="75" t="s">
        <v>492</v>
      </c>
      <c r="E34" s="76" t="s">
        <v>273</v>
      </c>
      <c r="F34" s="76" t="s">
        <v>273</v>
      </c>
      <c r="G34" s="76" t="s">
        <v>275</v>
      </c>
      <c r="H34" s="76" t="s">
        <v>275</v>
      </c>
      <c r="I34" s="76"/>
      <c r="J34" s="76"/>
      <c r="K34" s="76" t="s">
        <v>275</v>
      </c>
      <c r="L34" s="76" t="s">
        <v>273</v>
      </c>
      <c r="M34" s="76" t="s">
        <v>273</v>
      </c>
      <c r="N34" s="76" t="s">
        <v>275</v>
      </c>
      <c r="O34" s="76"/>
      <c r="P34" s="76"/>
      <c r="Q34" s="76" t="s">
        <v>275</v>
      </c>
      <c r="R34" s="76" t="s">
        <v>275</v>
      </c>
      <c r="S34" s="76" t="s">
        <v>275</v>
      </c>
      <c r="T34" s="76" t="s">
        <v>275</v>
      </c>
      <c r="U34" s="76" t="s">
        <v>275</v>
      </c>
      <c r="V34" s="76"/>
      <c r="W34" s="76" t="s">
        <v>275</v>
      </c>
      <c r="X34" s="76" t="s">
        <v>275</v>
      </c>
      <c r="Y34" s="76" t="s">
        <v>274</v>
      </c>
      <c r="Z34" s="76" t="s">
        <v>274</v>
      </c>
      <c r="AA34" s="76" t="s">
        <v>274</v>
      </c>
      <c r="AB34" s="76" t="s">
        <v>274</v>
      </c>
      <c r="AC34" s="76" t="s">
        <v>274</v>
      </c>
      <c r="AD34" s="76" t="s">
        <v>274</v>
      </c>
      <c r="AE34" s="76" t="s">
        <v>274</v>
      </c>
      <c r="AF34" s="76"/>
      <c r="AG34" s="76" t="s">
        <v>274</v>
      </c>
      <c r="AH34" s="76" t="s">
        <v>274</v>
      </c>
      <c r="AI34" s="76" t="s">
        <v>274</v>
      </c>
      <c r="AJ34" s="76" t="s">
        <v>273</v>
      </c>
      <c r="AK34" s="76" t="s">
        <v>274</v>
      </c>
      <c r="AL34" s="76" t="s">
        <v>274</v>
      </c>
      <c r="AM34" s="76" t="s">
        <v>274</v>
      </c>
      <c r="AN34" s="76" t="s">
        <v>274</v>
      </c>
      <c r="AO34" s="76" t="s">
        <v>274</v>
      </c>
      <c r="AP34" s="76" t="s">
        <v>274</v>
      </c>
    </row>
    <row r="35">
      <c r="D35" s="75" t="s">
        <v>493</v>
      </c>
      <c r="E35" s="76" t="s">
        <v>273</v>
      </c>
      <c r="F35" s="76" t="s">
        <v>273</v>
      </c>
      <c r="G35" s="76" t="s">
        <v>275</v>
      </c>
      <c r="H35" s="76" t="s">
        <v>275</v>
      </c>
      <c r="I35" s="76"/>
      <c r="J35" s="76"/>
      <c r="K35" s="76" t="s">
        <v>275</v>
      </c>
      <c r="L35" s="76" t="s">
        <v>273</v>
      </c>
      <c r="M35" s="76" t="s">
        <v>273</v>
      </c>
      <c r="N35" s="76" t="s">
        <v>275</v>
      </c>
      <c r="O35" s="76"/>
      <c r="P35" s="76"/>
      <c r="Q35" s="76" t="s">
        <v>275</v>
      </c>
      <c r="R35" s="76" t="s">
        <v>275</v>
      </c>
      <c r="S35" s="76" t="s">
        <v>275</v>
      </c>
      <c r="T35" s="76" t="s">
        <v>275</v>
      </c>
      <c r="U35" s="76" t="s">
        <v>275</v>
      </c>
      <c r="V35" s="76"/>
      <c r="W35" s="76" t="s">
        <v>275</v>
      </c>
      <c r="X35" s="76" t="s">
        <v>275</v>
      </c>
      <c r="Y35" s="76" t="s">
        <v>275</v>
      </c>
      <c r="Z35" s="76" t="s">
        <v>275</v>
      </c>
      <c r="AA35" s="76" t="s">
        <v>275</v>
      </c>
      <c r="AB35" s="76" t="s">
        <v>275</v>
      </c>
      <c r="AC35" s="76" t="s">
        <v>275</v>
      </c>
      <c r="AD35" s="76" t="s">
        <v>275</v>
      </c>
      <c r="AE35" s="76" t="s">
        <v>275</v>
      </c>
      <c r="AF35" s="76"/>
      <c r="AG35" s="76" t="s">
        <v>275</v>
      </c>
      <c r="AH35" s="76" t="s">
        <v>274</v>
      </c>
      <c r="AI35" s="76" t="s">
        <v>274</v>
      </c>
      <c r="AJ35" s="76" t="s">
        <v>273</v>
      </c>
      <c r="AK35" s="76" t="s">
        <v>274</v>
      </c>
      <c r="AL35" s="76" t="s">
        <v>274</v>
      </c>
      <c r="AM35" s="76" t="s">
        <v>274</v>
      </c>
      <c r="AN35" s="76" t="s">
        <v>274</v>
      </c>
      <c r="AO35" s="76" t="s">
        <v>274</v>
      </c>
      <c r="AP35" s="76" t="s">
        <v>274</v>
      </c>
    </row>
    <row r="36">
      <c r="C36" s="75" t="s">
        <v>440</v>
      </c>
      <c r="D36" s="75" t="s">
        <v>441</v>
      </c>
      <c r="E36" s="76" t="s">
        <v>273</v>
      </c>
      <c r="F36" s="76" t="s">
        <v>273</v>
      </c>
      <c r="G36" s="76" t="s">
        <v>275</v>
      </c>
      <c r="H36" s="76" t="s">
        <v>275</v>
      </c>
      <c r="I36" s="76"/>
      <c r="J36" s="76"/>
      <c r="K36" s="76" t="s">
        <v>275</v>
      </c>
      <c r="L36" s="76" t="s">
        <v>273</v>
      </c>
      <c r="M36" s="76" t="s">
        <v>273</v>
      </c>
      <c r="N36" s="76" t="s">
        <v>275</v>
      </c>
      <c r="O36" s="76"/>
      <c r="P36" s="76"/>
      <c r="Q36" s="76" t="s">
        <v>275</v>
      </c>
      <c r="R36" s="76" t="s">
        <v>275</v>
      </c>
      <c r="S36" s="76" t="s">
        <v>275</v>
      </c>
      <c r="T36" s="76" t="s">
        <v>274</v>
      </c>
      <c r="U36" s="76" t="s">
        <v>275</v>
      </c>
      <c r="V36" s="76"/>
      <c r="W36" s="76" t="s">
        <v>275</v>
      </c>
      <c r="X36" s="76" t="s">
        <v>275</v>
      </c>
      <c r="Y36" s="76" t="s">
        <v>275</v>
      </c>
      <c r="Z36" s="76" t="s">
        <v>275</v>
      </c>
      <c r="AA36" s="76" t="s">
        <v>275</v>
      </c>
      <c r="AB36" s="76" t="s">
        <v>275</v>
      </c>
      <c r="AC36" s="76" t="s">
        <v>275</v>
      </c>
      <c r="AD36" s="76" t="s">
        <v>275</v>
      </c>
      <c r="AE36" s="76" t="s">
        <v>275</v>
      </c>
      <c r="AF36" s="76"/>
      <c r="AG36" s="76" t="s">
        <v>275</v>
      </c>
      <c r="AH36" s="76" t="s">
        <v>274</v>
      </c>
      <c r="AI36" s="76" t="s">
        <v>274</v>
      </c>
      <c r="AJ36" s="76" t="s">
        <v>273</v>
      </c>
      <c r="AK36" s="76" t="s">
        <v>274</v>
      </c>
      <c r="AL36" s="76" t="s">
        <v>274</v>
      </c>
      <c r="AM36" s="76" t="s">
        <v>274</v>
      </c>
      <c r="AN36" s="76" t="s">
        <v>274</v>
      </c>
      <c r="AO36" s="76" t="s">
        <v>274</v>
      </c>
      <c r="AP36" s="76" t="s">
        <v>274</v>
      </c>
    </row>
    <row r="37">
      <c r="D37" s="75" t="s">
        <v>443</v>
      </c>
      <c r="E37" s="76" t="s">
        <v>273</v>
      </c>
      <c r="F37" s="76" t="s">
        <v>273</v>
      </c>
      <c r="G37" s="76" t="s">
        <v>275</v>
      </c>
      <c r="H37" s="76" t="s">
        <v>275</v>
      </c>
      <c r="I37" s="76"/>
      <c r="J37" s="76"/>
      <c r="K37" s="76" t="s">
        <v>275</v>
      </c>
      <c r="L37" s="76" t="s">
        <v>273</v>
      </c>
      <c r="M37" s="76" t="s">
        <v>273</v>
      </c>
      <c r="N37" s="76" t="s">
        <v>275</v>
      </c>
      <c r="O37" s="76"/>
      <c r="P37" s="76"/>
      <c r="Q37" s="76" t="s">
        <v>275</v>
      </c>
      <c r="R37" s="76" t="s">
        <v>275</v>
      </c>
      <c r="S37" s="76" t="s">
        <v>275</v>
      </c>
      <c r="T37" s="76" t="s">
        <v>275</v>
      </c>
      <c r="U37" s="76" t="s">
        <v>275</v>
      </c>
      <c r="V37" s="76"/>
      <c r="W37" s="76" t="s">
        <v>275</v>
      </c>
      <c r="X37" s="76" t="s">
        <v>275</v>
      </c>
      <c r="Y37" s="76" t="s">
        <v>274</v>
      </c>
      <c r="Z37" s="76" t="s">
        <v>274</v>
      </c>
      <c r="AA37" s="76" t="s">
        <v>274</v>
      </c>
      <c r="AB37" s="76" t="s">
        <v>274</v>
      </c>
      <c r="AC37" s="76" t="s">
        <v>274</v>
      </c>
      <c r="AD37" s="76" t="s">
        <v>274</v>
      </c>
      <c r="AE37" s="76" t="s">
        <v>274</v>
      </c>
      <c r="AF37" s="76"/>
      <c r="AG37" s="76" t="s">
        <v>274</v>
      </c>
      <c r="AH37" s="76" t="s">
        <v>274</v>
      </c>
      <c r="AI37" s="76" t="s">
        <v>274</v>
      </c>
      <c r="AJ37" s="76" t="s">
        <v>273</v>
      </c>
      <c r="AK37" s="76" t="s">
        <v>274</v>
      </c>
      <c r="AL37" s="76" t="s">
        <v>274</v>
      </c>
      <c r="AM37" s="76" t="s">
        <v>274</v>
      </c>
      <c r="AN37" s="76" t="s">
        <v>274</v>
      </c>
      <c r="AO37" s="76" t="s">
        <v>274</v>
      </c>
      <c r="AP37" s="76" t="s">
        <v>274</v>
      </c>
    </row>
    <row r="38">
      <c r="D38" s="85" t="s">
        <v>494</v>
      </c>
      <c r="E38" s="76" t="s">
        <v>273</v>
      </c>
      <c r="F38" s="76" t="s">
        <v>273</v>
      </c>
      <c r="G38" s="76" t="s">
        <v>275</v>
      </c>
      <c r="H38" s="76" t="s">
        <v>275</v>
      </c>
      <c r="I38" s="76"/>
      <c r="J38" s="76"/>
      <c r="K38" s="76" t="s">
        <v>275</v>
      </c>
      <c r="L38" s="76" t="s">
        <v>273</v>
      </c>
      <c r="M38" s="76" t="s">
        <v>273</v>
      </c>
      <c r="N38" s="76" t="s">
        <v>275</v>
      </c>
      <c r="O38" s="76"/>
      <c r="P38" s="76"/>
      <c r="Q38" s="76" t="s">
        <v>275</v>
      </c>
      <c r="R38" s="76" t="s">
        <v>275</v>
      </c>
      <c r="S38" s="76" t="s">
        <v>275</v>
      </c>
      <c r="T38" s="76" t="s">
        <v>275</v>
      </c>
      <c r="U38" s="76" t="s">
        <v>275</v>
      </c>
      <c r="V38" s="76"/>
      <c r="W38" s="76"/>
      <c r="X38" s="76" t="s">
        <v>275</v>
      </c>
      <c r="Y38" s="76" t="s">
        <v>275</v>
      </c>
      <c r="Z38" s="76" t="s">
        <v>275</v>
      </c>
      <c r="AA38" s="76" t="s">
        <v>275</v>
      </c>
      <c r="AB38" s="76" t="s">
        <v>275</v>
      </c>
      <c r="AC38" s="76" t="s">
        <v>275</v>
      </c>
      <c r="AD38" s="76" t="s">
        <v>275</v>
      </c>
      <c r="AE38" s="76" t="s">
        <v>275</v>
      </c>
      <c r="AF38" s="76"/>
      <c r="AG38" s="76" t="s">
        <v>275</v>
      </c>
      <c r="AH38" s="76" t="s">
        <v>274</v>
      </c>
      <c r="AI38" s="76" t="s">
        <v>274</v>
      </c>
      <c r="AJ38" s="76" t="s">
        <v>273</v>
      </c>
      <c r="AK38" s="76" t="s">
        <v>274</v>
      </c>
      <c r="AL38" s="76" t="s">
        <v>274</v>
      </c>
      <c r="AM38" s="76" t="s">
        <v>274</v>
      </c>
      <c r="AN38" s="76" t="s">
        <v>274</v>
      </c>
      <c r="AO38" s="76" t="s">
        <v>274</v>
      </c>
      <c r="AP38" s="76" t="s">
        <v>274</v>
      </c>
    </row>
    <row r="39">
      <c r="D39" s="85" t="s">
        <v>495</v>
      </c>
      <c r="E39" s="76" t="s">
        <v>273</v>
      </c>
      <c r="F39" s="76" t="s">
        <v>273</v>
      </c>
      <c r="G39" s="76" t="s">
        <v>275</v>
      </c>
      <c r="H39" s="76" t="s">
        <v>275</v>
      </c>
      <c r="I39" s="76"/>
      <c r="J39" s="76"/>
      <c r="K39" s="76" t="s">
        <v>275</v>
      </c>
      <c r="L39" s="76" t="s">
        <v>273</v>
      </c>
      <c r="M39" s="76" t="s">
        <v>273</v>
      </c>
      <c r="N39" s="76" t="s">
        <v>275</v>
      </c>
      <c r="O39" s="76"/>
      <c r="P39" s="76"/>
      <c r="Q39" s="76" t="s">
        <v>275</v>
      </c>
      <c r="R39" s="76" t="s">
        <v>275</v>
      </c>
      <c r="S39" s="76" t="s">
        <v>275</v>
      </c>
      <c r="T39" s="76" t="s">
        <v>275</v>
      </c>
      <c r="U39" s="76" t="s">
        <v>275</v>
      </c>
      <c r="V39" s="76"/>
      <c r="W39" s="76"/>
      <c r="X39" s="76" t="s">
        <v>275</v>
      </c>
      <c r="Y39" s="76" t="s">
        <v>275</v>
      </c>
      <c r="Z39" s="76" t="s">
        <v>275</v>
      </c>
      <c r="AA39" s="76" t="s">
        <v>275</v>
      </c>
      <c r="AB39" s="76" t="s">
        <v>275</v>
      </c>
      <c r="AC39" s="76" t="s">
        <v>275</v>
      </c>
      <c r="AD39" s="76" t="s">
        <v>275</v>
      </c>
      <c r="AE39" s="76" t="s">
        <v>275</v>
      </c>
      <c r="AF39" s="76"/>
      <c r="AG39" s="76" t="s">
        <v>275</v>
      </c>
      <c r="AH39" s="76" t="s">
        <v>274</v>
      </c>
      <c r="AI39" s="76" t="s">
        <v>274</v>
      </c>
      <c r="AJ39" s="76" t="s">
        <v>273</v>
      </c>
      <c r="AK39" s="76" t="s">
        <v>274</v>
      </c>
      <c r="AL39" s="76" t="s">
        <v>273</v>
      </c>
      <c r="AM39" s="76" t="s">
        <v>273</v>
      </c>
      <c r="AN39" s="76" t="s">
        <v>273</v>
      </c>
      <c r="AO39" s="76" t="s">
        <v>274</v>
      </c>
      <c r="AP39" s="76" t="s">
        <v>274</v>
      </c>
    </row>
    <row r="40">
      <c r="C40" s="75" t="s">
        <v>446</v>
      </c>
      <c r="D40" s="75" t="s">
        <v>447</v>
      </c>
      <c r="E40" s="76" t="s">
        <v>273</v>
      </c>
      <c r="F40" s="76" t="s">
        <v>273</v>
      </c>
      <c r="G40" s="76" t="s">
        <v>275</v>
      </c>
      <c r="H40" s="76" t="s">
        <v>275</v>
      </c>
      <c r="I40" s="76"/>
      <c r="J40" s="76"/>
      <c r="K40" s="76" t="s">
        <v>275</v>
      </c>
      <c r="L40" s="76" t="s">
        <v>273</v>
      </c>
      <c r="M40" s="76" t="s">
        <v>273</v>
      </c>
      <c r="N40" s="76" t="s">
        <v>275</v>
      </c>
      <c r="O40" s="76"/>
      <c r="P40" s="76"/>
      <c r="Q40" s="76" t="s">
        <v>275</v>
      </c>
      <c r="R40" s="76" t="s">
        <v>275</v>
      </c>
      <c r="S40" s="76" t="s">
        <v>275</v>
      </c>
      <c r="T40" s="76" t="s">
        <v>275</v>
      </c>
      <c r="U40" s="76" t="s">
        <v>275</v>
      </c>
      <c r="V40" s="76"/>
      <c r="W40" s="76"/>
      <c r="X40" s="76" t="s">
        <v>275</v>
      </c>
      <c r="Y40" s="76" t="s">
        <v>275</v>
      </c>
      <c r="Z40" s="76" t="s">
        <v>275</v>
      </c>
      <c r="AA40" s="76" t="s">
        <v>275</v>
      </c>
      <c r="AB40" s="76" t="s">
        <v>275</v>
      </c>
      <c r="AC40" s="76" t="s">
        <v>275</v>
      </c>
      <c r="AD40" s="76" t="s">
        <v>275</v>
      </c>
      <c r="AE40" s="76" t="s">
        <v>275</v>
      </c>
      <c r="AF40" s="76"/>
      <c r="AG40" s="76" t="s">
        <v>275</v>
      </c>
      <c r="AH40" s="76" t="s">
        <v>274</v>
      </c>
      <c r="AI40" s="76" t="s">
        <v>274</v>
      </c>
      <c r="AJ40" s="76" t="s">
        <v>273</v>
      </c>
      <c r="AK40" s="76" t="s">
        <v>273</v>
      </c>
      <c r="AL40" s="76" t="s">
        <v>273</v>
      </c>
      <c r="AM40" s="76" t="s">
        <v>273</v>
      </c>
      <c r="AN40" s="76" t="s">
        <v>274</v>
      </c>
      <c r="AO40" s="76" t="s">
        <v>274</v>
      </c>
      <c r="AP40" s="76" t="s">
        <v>274</v>
      </c>
    </row>
    <row r="41">
      <c r="D41" s="75" t="s">
        <v>443</v>
      </c>
      <c r="E41" s="76" t="s">
        <v>273</v>
      </c>
      <c r="F41" s="76" t="s">
        <v>273</v>
      </c>
      <c r="G41" s="76" t="s">
        <v>275</v>
      </c>
      <c r="H41" s="76" t="s">
        <v>275</v>
      </c>
      <c r="I41" s="76"/>
      <c r="J41" s="76"/>
      <c r="K41" s="76" t="s">
        <v>275</v>
      </c>
      <c r="L41" s="76" t="s">
        <v>273</v>
      </c>
      <c r="M41" s="76" t="s">
        <v>273</v>
      </c>
      <c r="N41" s="76" t="s">
        <v>275</v>
      </c>
      <c r="O41" s="76"/>
      <c r="P41" s="76"/>
      <c r="Q41" s="76" t="s">
        <v>275</v>
      </c>
      <c r="R41" s="76" t="s">
        <v>275</v>
      </c>
      <c r="S41" s="76" t="s">
        <v>275</v>
      </c>
      <c r="T41" s="76" t="s">
        <v>275</v>
      </c>
      <c r="U41" s="76" t="s">
        <v>275</v>
      </c>
      <c r="V41" s="76"/>
      <c r="W41" s="76"/>
      <c r="X41" s="76" t="s">
        <v>275</v>
      </c>
      <c r="Y41" s="76" t="s">
        <v>274</v>
      </c>
      <c r="Z41" s="76" t="s">
        <v>274</v>
      </c>
      <c r="AA41" s="76" t="s">
        <v>274</v>
      </c>
      <c r="AB41" s="76" t="s">
        <v>274</v>
      </c>
      <c r="AC41" s="76" t="s">
        <v>274</v>
      </c>
      <c r="AD41" s="76" t="s">
        <v>274</v>
      </c>
      <c r="AE41" s="76" t="s">
        <v>274</v>
      </c>
      <c r="AF41" s="76"/>
      <c r="AG41" s="76" t="s">
        <v>274</v>
      </c>
      <c r="AH41" s="76" t="s">
        <v>274</v>
      </c>
      <c r="AI41" s="76" t="s">
        <v>274</v>
      </c>
      <c r="AJ41" s="76" t="s">
        <v>273</v>
      </c>
      <c r="AK41" s="76" t="s">
        <v>274</v>
      </c>
      <c r="AL41" s="76" t="s">
        <v>274</v>
      </c>
      <c r="AM41" s="76" t="s">
        <v>274</v>
      </c>
      <c r="AN41" s="76" t="s">
        <v>274</v>
      </c>
      <c r="AO41" s="76" t="s">
        <v>274</v>
      </c>
      <c r="AP41" s="76" t="s">
        <v>274</v>
      </c>
    </row>
    <row r="42">
      <c r="D42" s="85" t="s">
        <v>496</v>
      </c>
      <c r="E42" s="76" t="s">
        <v>273</v>
      </c>
      <c r="F42" s="76" t="s">
        <v>273</v>
      </c>
      <c r="G42" s="76" t="s">
        <v>275</v>
      </c>
      <c r="H42" s="76" t="s">
        <v>275</v>
      </c>
      <c r="I42" s="76"/>
      <c r="J42" s="76"/>
      <c r="K42" s="76" t="s">
        <v>275</v>
      </c>
      <c r="L42" s="76" t="s">
        <v>273</v>
      </c>
      <c r="M42" s="76" t="s">
        <v>273</v>
      </c>
      <c r="N42" s="76" t="s">
        <v>275</v>
      </c>
      <c r="O42" s="76"/>
      <c r="P42" s="76"/>
      <c r="Q42" s="76" t="s">
        <v>275</v>
      </c>
      <c r="R42" s="76" t="s">
        <v>275</v>
      </c>
      <c r="S42" s="76" t="s">
        <v>275</v>
      </c>
      <c r="T42" s="76" t="s">
        <v>275</v>
      </c>
      <c r="U42" s="76" t="s">
        <v>275</v>
      </c>
      <c r="V42" s="76"/>
      <c r="W42" s="76"/>
      <c r="X42" s="76" t="s">
        <v>275</v>
      </c>
      <c r="Y42" s="76" t="s">
        <v>275</v>
      </c>
      <c r="Z42" s="76" t="s">
        <v>275</v>
      </c>
      <c r="AA42" s="76" t="s">
        <v>275</v>
      </c>
      <c r="AB42" s="76" t="s">
        <v>275</v>
      </c>
      <c r="AC42" s="76" t="s">
        <v>275</v>
      </c>
      <c r="AD42" s="76" t="s">
        <v>275</v>
      </c>
      <c r="AE42" s="76" t="s">
        <v>275</v>
      </c>
      <c r="AF42" s="76"/>
      <c r="AG42" s="76" t="s">
        <v>275</v>
      </c>
      <c r="AH42" s="76" t="s">
        <v>274</v>
      </c>
      <c r="AI42" s="76" t="s">
        <v>274</v>
      </c>
      <c r="AJ42" s="76" t="s">
        <v>273</v>
      </c>
      <c r="AK42" s="76" t="s">
        <v>274</v>
      </c>
      <c r="AL42" s="76" t="s">
        <v>274</v>
      </c>
      <c r="AM42" s="76" t="s">
        <v>274</v>
      </c>
      <c r="AN42" s="76" t="s">
        <v>274</v>
      </c>
      <c r="AO42" s="76" t="s">
        <v>274</v>
      </c>
      <c r="AP42" s="76" t="s">
        <v>274</v>
      </c>
    </row>
    <row r="43">
      <c r="D43" s="85" t="s">
        <v>497</v>
      </c>
      <c r="E43" s="76" t="s">
        <v>273</v>
      </c>
      <c r="F43" s="76" t="s">
        <v>273</v>
      </c>
      <c r="G43" s="76" t="s">
        <v>275</v>
      </c>
      <c r="H43" s="76" t="s">
        <v>275</v>
      </c>
      <c r="I43" s="76"/>
      <c r="J43" s="76"/>
      <c r="K43" s="76" t="s">
        <v>275</v>
      </c>
      <c r="L43" s="76" t="s">
        <v>273</v>
      </c>
      <c r="M43" s="76" t="s">
        <v>273</v>
      </c>
      <c r="N43" s="76" t="s">
        <v>275</v>
      </c>
      <c r="O43" s="76"/>
      <c r="P43" s="76"/>
      <c r="Q43" s="76" t="s">
        <v>275</v>
      </c>
      <c r="R43" s="76" t="s">
        <v>275</v>
      </c>
      <c r="S43" s="76" t="s">
        <v>275</v>
      </c>
      <c r="T43" s="76" t="s">
        <v>275</v>
      </c>
      <c r="U43" s="76" t="s">
        <v>275</v>
      </c>
      <c r="V43" s="76"/>
      <c r="W43" s="76"/>
      <c r="X43" s="76" t="s">
        <v>275</v>
      </c>
      <c r="Y43" s="76" t="s">
        <v>275</v>
      </c>
      <c r="Z43" s="76" t="s">
        <v>275</v>
      </c>
      <c r="AA43" s="76" t="s">
        <v>275</v>
      </c>
      <c r="AB43" s="76" t="s">
        <v>275</v>
      </c>
      <c r="AC43" s="76" t="s">
        <v>275</v>
      </c>
      <c r="AD43" s="76" t="s">
        <v>275</v>
      </c>
      <c r="AE43" s="76" t="s">
        <v>275</v>
      </c>
      <c r="AF43" s="76"/>
      <c r="AG43" s="76" t="s">
        <v>275</v>
      </c>
      <c r="AH43" s="76" t="s">
        <v>274</v>
      </c>
      <c r="AI43" s="76" t="s">
        <v>274</v>
      </c>
      <c r="AJ43" s="76" t="s">
        <v>273</v>
      </c>
      <c r="AK43" s="76" t="s">
        <v>274</v>
      </c>
      <c r="AL43" s="76" t="s">
        <v>273</v>
      </c>
      <c r="AM43" s="76" t="s">
        <v>273</v>
      </c>
      <c r="AN43" s="76" t="s">
        <v>273</v>
      </c>
      <c r="AO43" s="76" t="s">
        <v>274</v>
      </c>
      <c r="AP43" s="76" t="s">
        <v>274</v>
      </c>
    </row>
    <row r="44">
      <c r="A44" s="92"/>
      <c r="B44" s="93"/>
      <c r="C44" s="93"/>
      <c r="D44" s="93"/>
      <c r="E44" s="93"/>
      <c r="F44" s="93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</row>
    <row r="45">
      <c r="A45" s="92"/>
      <c r="B45" s="93"/>
      <c r="C45" s="93"/>
      <c r="D45" s="93"/>
      <c r="E45" s="93"/>
      <c r="F45" s="95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</row>
    <row r="46">
      <c r="A46" s="92"/>
      <c r="B46" s="93"/>
      <c r="C46" s="93"/>
      <c r="D46" s="93"/>
      <c r="E46" s="93"/>
      <c r="F46" s="95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</row>
    <row r="47">
      <c r="A47" s="92"/>
      <c r="B47" s="93"/>
      <c r="C47" s="93"/>
      <c r="D47" s="93"/>
      <c r="E47" s="93"/>
      <c r="F47" s="95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</row>
    <row r="48">
      <c r="A48" s="92"/>
      <c r="B48" s="93"/>
      <c r="C48" s="93"/>
      <c r="D48" s="93"/>
      <c r="E48" s="93"/>
      <c r="F48" s="95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</row>
    <row r="49">
      <c r="A49" s="92"/>
      <c r="B49" s="93"/>
      <c r="C49" s="93"/>
      <c r="D49" s="93"/>
      <c r="E49" s="93"/>
      <c r="F49" s="95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</row>
    <row r="50">
      <c r="A50" s="92"/>
      <c r="B50" s="93"/>
      <c r="C50" s="93"/>
      <c r="D50" s="93"/>
      <c r="E50" s="93"/>
      <c r="F50" s="95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</row>
    <row r="51">
      <c r="A51" s="92"/>
      <c r="B51" s="93"/>
      <c r="C51" s="93"/>
      <c r="D51" s="93"/>
      <c r="E51" s="93"/>
      <c r="F51" s="95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</row>
    <row r="52">
      <c r="A52" s="96"/>
      <c r="B52" s="94"/>
      <c r="C52" s="94"/>
      <c r="D52" s="94"/>
      <c r="E52" s="93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</row>
    <row r="53">
      <c r="A53" s="96"/>
      <c r="B53" s="94"/>
      <c r="C53" s="94"/>
      <c r="D53" s="94"/>
      <c r="E53" s="93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</row>
    <row r="54">
      <c r="A54" s="96"/>
      <c r="B54" s="94"/>
      <c r="C54" s="94"/>
      <c r="D54" s="94"/>
      <c r="E54" s="93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</row>
    <row r="55">
      <c r="A55" s="96"/>
      <c r="B55" s="94"/>
      <c r="C55" s="94"/>
      <c r="D55" s="94"/>
      <c r="E55" s="93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</row>
    <row r="56">
      <c r="A56" s="96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</row>
    <row r="57">
      <c r="A57" s="96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</row>
    <row r="58">
      <c r="A58" s="96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</row>
    <row r="59">
      <c r="A59" s="96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</row>
    <row r="60">
      <c r="A60" s="96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</row>
    <row r="61">
      <c r="A61" s="96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</row>
    <row r="62">
      <c r="A62" s="96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</row>
    <row r="63">
      <c r="A63" s="96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</row>
    <row r="64">
      <c r="A64" s="96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</row>
    <row r="65">
      <c r="A65" s="96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</row>
    <row r="66">
      <c r="A66" s="96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</row>
    <row r="67">
      <c r="A67" s="96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</row>
    <row r="68">
      <c r="A68" s="96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</row>
    <row r="69">
      <c r="A69" s="96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</row>
    <row r="70">
      <c r="A70" s="96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</row>
    <row r="71">
      <c r="A71" s="96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</row>
    <row r="72">
      <c r="A72" s="96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</row>
    <row r="73">
      <c r="A73" s="96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</row>
    <row r="74">
      <c r="A74" s="96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</row>
    <row r="75">
      <c r="A75" s="96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</row>
    <row r="76">
      <c r="A76" s="96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</row>
    <row r="77">
      <c r="A77" s="96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</row>
    <row r="78">
      <c r="A78" s="96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</row>
    <row r="79">
      <c r="A79" s="96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</row>
    <row r="80">
      <c r="A80" s="96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</row>
    <row r="81">
      <c r="A81" s="96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</row>
    <row r="82">
      <c r="A82" s="96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</row>
    <row r="83">
      <c r="A83" s="96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</row>
    <row r="84">
      <c r="A84" s="96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</row>
    <row r="85">
      <c r="A85" s="96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</row>
    <row r="86">
      <c r="A86" s="96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</row>
    <row r="87">
      <c r="A87" s="96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</row>
    <row r="88">
      <c r="A88" s="96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</row>
    <row r="89">
      <c r="A89" s="96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</row>
    <row r="90">
      <c r="A90" s="96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</row>
    <row r="91">
      <c r="A91" s="96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</row>
    <row r="92">
      <c r="A92" s="96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</row>
    <row r="93">
      <c r="A93" s="96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</row>
    <row r="94">
      <c r="A94" s="96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</row>
    <row r="95">
      <c r="A95" s="96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</row>
    <row r="96">
      <c r="A96" s="96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</row>
    <row r="97">
      <c r="A97" s="96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</row>
    <row r="98">
      <c r="A98" s="96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</row>
    <row r="99">
      <c r="A99" s="96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</row>
    <row r="100">
      <c r="A100" s="96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</row>
    <row r="101">
      <c r="A101" s="96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</row>
    <row r="102">
      <c r="A102" s="96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</row>
    <row r="103">
      <c r="A103" s="96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</row>
    <row r="104">
      <c r="A104" s="96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</row>
    <row r="105">
      <c r="A105" s="96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</row>
    <row r="106">
      <c r="A106" s="96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</row>
    <row r="107">
      <c r="A107" s="96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</row>
    <row r="108">
      <c r="A108" s="96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</row>
    <row r="109">
      <c r="A109" s="96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</row>
    <row r="110">
      <c r="A110" s="96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</row>
    <row r="111">
      <c r="A111" s="96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</row>
    <row r="112">
      <c r="A112" s="96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</row>
    <row r="113">
      <c r="A113" s="96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</row>
    <row r="114">
      <c r="A114" s="96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</row>
    <row r="115">
      <c r="A115" s="96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</row>
    <row r="116">
      <c r="A116" s="96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</row>
    <row r="117">
      <c r="A117" s="96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</row>
    <row r="118">
      <c r="A118" s="96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</row>
    <row r="119">
      <c r="A119" s="96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</row>
    <row r="120">
      <c r="A120" s="96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</row>
    <row r="121">
      <c r="A121" s="96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</row>
    <row r="122">
      <c r="A122" s="96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</row>
    <row r="123">
      <c r="A123" s="96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</row>
    <row r="124">
      <c r="A124" s="96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</row>
    <row r="125">
      <c r="A125" s="96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</row>
    <row r="126">
      <c r="A126" s="96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</row>
    <row r="127">
      <c r="A127" s="96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</row>
    <row r="128">
      <c r="A128" s="96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</row>
    <row r="129">
      <c r="A129" s="96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</row>
    <row r="130">
      <c r="A130" s="96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</row>
    <row r="131">
      <c r="A131" s="96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</row>
    <row r="132">
      <c r="A132" s="96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</row>
    <row r="133">
      <c r="A133" s="96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</row>
    <row r="134">
      <c r="A134" s="96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</row>
    <row r="135">
      <c r="A135" s="96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</row>
    <row r="136">
      <c r="A136" s="96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</row>
    <row r="137">
      <c r="A137" s="96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</row>
    <row r="138">
      <c r="A138" s="96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</row>
    <row r="139">
      <c r="A139" s="96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</row>
    <row r="140">
      <c r="A140" s="96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</row>
    <row r="141">
      <c r="A141" s="96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</row>
    <row r="142">
      <c r="A142" s="96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</row>
    <row r="143">
      <c r="A143" s="96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</row>
    <row r="144">
      <c r="A144" s="96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</row>
    <row r="145">
      <c r="A145" s="96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</row>
    <row r="146">
      <c r="A146" s="96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</row>
    <row r="147">
      <c r="A147" s="96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</row>
    <row r="148">
      <c r="A148" s="96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</row>
    <row r="149">
      <c r="A149" s="96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</row>
    <row r="150">
      <c r="A150" s="96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</row>
    <row r="151">
      <c r="A151" s="96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</row>
    <row r="152">
      <c r="A152" s="96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</row>
    <row r="153">
      <c r="A153" s="96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</row>
    <row r="154">
      <c r="A154" s="96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</row>
    <row r="155">
      <c r="A155" s="96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</row>
    <row r="156">
      <c r="A156" s="96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</row>
    <row r="157">
      <c r="A157" s="96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</row>
    <row r="158">
      <c r="A158" s="96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</row>
    <row r="159">
      <c r="A159" s="96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</row>
    <row r="160">
      <c r="A160" s="96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</row>
    <row r="161">
      <c r="A161" s="96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</row>
    <row r="162">
      <c r="A162" s="96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</row>
    <row r="163">
      <c r="A163" s="96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</row>
    <row r="164">
      <c r="A164" s="96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</row>
    <row r="165">
      <c r="A165" s="96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</row>
    <row r="166">
      <c r="A166" s="96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</row>
    <row r="167">
      <c r="A167" s="96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</row>
    <row r="168">
      <c r="A168" s="97"/>
      <c r="B168" s="97" t="s">
        <v>498</v>
      </c>
      <c r="C168" s="97" t="s">
        <v>499</v>
      </c>
      <c r="D168" s="97" t="s">
        <v>500</v>
      </c>
      <c r="E168" s="97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</row>
    <row r="169">
      <c r="A169" s="92" t="s">
        <v>501</v>
      </c>
      <c r="B169" s="93" t="s">
        <v>502</v>
      </c>
      <c r="C169" s="93" t="s">
        <v>503</v>
      </c>
      <c r="D169" s="93" t="s">
        <v>504</v>
      </c>
      <c r="E169" s="93" t="s">
        <v>505</v>
      </c>
      <c r="F169" s="95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</row>
    <row r="170">
      <c r="A170" s="92" t="s">
        <v>506</v>
      </c>
      <c r="B170" s="93" t="s">
        <v>507</v>
      </c>
      <c r="C170" s="93" t="s">
        <v>508</v>
      </c>
      <c r="D170" s="93" t="s">
        <v>509</v>
      </c>
      <c r="E170" s="93" t="s">
        <v>505</v>
      </c>
      <c r="F170" s="95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</row>
    <row r="171">
      <c r="A171" s="92" t="s">
        <v>510</v>
      </c>
      <c r="B171" s="93" t="s">
        <v>511</v>
      </c>
      <c r="C171" s="93" t="s">
        <v>512</v>
      </c>
      <c r="D171" s="93" t="s">
        <v>513</v>
      </c>
      <c r="E171" s="93" t="s">
        <v>505</v>
      </c>
      <c r="F171" s="95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</row>
    <row r="172">
      <c r="A172" s="92" t="s">
        <v>514</v>
      </c>
      <c r="B172" s="93" t="s">
        <v>515</v>
      </c>
      <c r="C172" s="93" t="s">
        <v>516</v>
      </c>
      <c r="D172" s="93" t="s">
        <v>517</v>
      </c>
      <c r="E172" s="93" t="s">
        <v>505</v>
      </c>
      <c r="F172" s="95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</row>
    <row r="173">
      <c r="A173" s="96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</row>
    <row r="174">
      <c r="A174" s="96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</row>
    <row r="175">
      <c r="A175" s="96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</row>
    <row r="176">
      <c r="A176" s="96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</row>
    <row r="177">
      <c r="A177" s="96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</row>
    <row r="178">
      <c r="A178" s="96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</row>
    <row r="179">
      <c r="A179" s="96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</row>
    <row r="180">
      <c r="A180" s="96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</row>
    <row r="181">
      <c r="A181" s="96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</row>
    <row r="182">
      <c r="A182" s="96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</row>
    <row r="183">
      <c r="A183" s="96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</row>
    <row r="184">
      <c r="A184" s="96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</row>
    <row r="185">
      <c r="A185" s="96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</row>
    <row r="186">
      <c r="A186" s="96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</row>
    <row r="187">
      <c r="A187" s="96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</row>
    <row r="188">
      <c r="A188" s="96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</row>
    <row r="189">
      <c r="A189" s="96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</row>
    <row r="190">
      <c r="A190" s="96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</row>
    <row r="191">
      <c r="A191" s="96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</row>
    <row r="192">
      <c r="A192" s="96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</row>
    <row r="193">
      <c r="A193" s="96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</row>
    <row r="194">
      <c r="A194" s="96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</row>
    <row r="195">
      <c r="A195" s="96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</row>
    <row r="196">
      <c r="A196" s="96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</row>
    <row r="197">
      <c r="A197" s="96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</row>
    <row r="198">
      <c r="A198" s="96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</row>
    <row r="199">
      <c r="A199" s="96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</row>
    <row r="200">
      <c r="A200" s="96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</row>
    <row r="201">
      <c r="A201" s="96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</row>
    <row r="202">
      <c r="A202" s="96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</row>
    <row r="203">
      <c r="A203" s="96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</row>
    <row r="204">
      <c r="A204" s="96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</row>
    <row r="205">
      <c r="A205" s="96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</row>
    <row r="206">
      <c r="A206" s="96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</row>
    <row r="207">
      <c r="A207" s="96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</row>
    <row r="208">
      <c r="A208" s="96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</row>
    <row r="209">
      <c r="A209" s="96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</row>
    <row r="210">
      <c r="A210" s="96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</row>
    <row r="211">
      <c r="A211" s="96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</row>
    <row r="212">
      <c r="A212" s="96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</row>
    <row r="213">
      <c r="A213" s="96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</row>
    <row r="214">
      <c r="A214" s="96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</row>
    <row r="215">
      <c r="A215" s="96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</row>
    <row r="216">
      <c r="A216" s="96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</row>
    <row r="217">
      <c r="A217" s="96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</row>
    <row r="218">
      <c r="A218" s="96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</row>
    <row r="219">
      <c r="A219" s="96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</row>
    <row r="220">
      <c r="A220" s="96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</row>
    <row r="221">
      <c r="A221" s="96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</row>
    <row r="222">
      <c r="A222" s="96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</row>
    <row r="223">
      <c r="A223" s="96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</row>
    <row r="224">
      <c r="A224" s="96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</row>
    <row r="225">
      <c r="A225" s="96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</row>
    <row r="226">
      <c r="A226" s="96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</row>
    <row r="227">
      <c r="A227" s="96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</row>
    <row r="228">
      <c r="A228" s="96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</row>
    <row r="229">
      <c r="A229" s="96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</row>
    <row r="230">
      <c r="A230" s="96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</row>
    <row r="231">
      <c r="A231" s="96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</row>
    <row r="232">
      <c r="A232" s="96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</row>
    <row r="233">
      <c r="A233" s="96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</row>
    <row r="234">
      <c r="A234" s="96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</row>
    <row r="235">
      <c r="A235" s="96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</row>
    <row r="236">
      <c r="A236" s="96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</row>
    <row r="237">
      <c r="A237" s="96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</row>
    <row r="238">
      <c r="A238" s="96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</row>
    <row r="239">
      <c r="A239" s="96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</row>
    <row r="240">
      <c r="A240" s="96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</row>
    <row r="241">
      <c r="A241" s="96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</row>
    <row r="242">
      <c r="A242" s="96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</row>
    <row r="243">
      <c r="A243" s="96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</row>
    <row r="244">
      <c r="A244" s="96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</row>
    <row r="245">
      <c r="A245" s="96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</row>
    <row r="246">
      <c r="A246" s="96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</row>
    <row r="247">
      <c r="A247" s="96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</row>
    <row r="248">
      <c r="A248" s="96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</row>
    <row r="249">
      <c r="A249" s="96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</row>
    <row r="250">
      <c r="A250" s="96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</row>
    <row r="251">
      <c r="A251" s="96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</row>
    <row r="252">
      <c r="A252" s="96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</row>
    <row r="253">
      <c r="A253" s="96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</row>
    <row r="254">
      <c r="A254" s="96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</row>
    <row r="255">
      <c r="A255" s="96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</row>
    <row r="256">
      <c r="A256" s="96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</row>
    <row r="257">
      <c r="A257" s="96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</row>
    <row r="258">
      <c r="A258" s="96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</row>
    <row r="259">
      <c r="A259" s="96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</row>
    <row r="260">
      <c r="A260" s="96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</row>
    <row r="261">
      <c r="A261" s="96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</row>
    <row r="262">
      <c r="A262" s="96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</row>
    <row r="263">
      <c r="A263" s="96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</row>
    <row r="264">
      <c r="A264" s="96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</row>
    <row r="265">
      <c r="A265" s="96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</row>
    <row r="266">
      <c r="A266" s="96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</row>
    <row r="267">
      <c r="A267" s="96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</row>
    <row r="268">
      <c r="A268" s="96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</row>
    <row r="269">
      <c r="A269" s="96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</row>
    <row r="270">
      <c r="A270" s="96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</row>
    <row r="271">
      <c r="A271" s="96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</row>
    <row r="272">
      <c r="A272" s="96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</row>
    <row r="273">
      <c r="A273" s="96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</row>
    <row r="274">
      <c r="A274" s="96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</row>
    <row r="275">
      <c r="A275" s="96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</row>
    <row r="276">
      <c r="A276" s="96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</row>
    <row r="277">
      <c r="A277" s="96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</row>
    <row r="278">
      <c r="A278" s="96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</row>
    <row r="279">
      <c r="A279" s="96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</row>
    <row r="280">
      <c r="A280" s="96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</row>
    <row r="281">
      <c r="A281" s="96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</row>
    <row r="282">
      <c r="A282" s="96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</row>
    <row r="283">
      <c r="A283" s="96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</row>
    <row r="284">
      <c r="A284" s="96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</row>
    <row r="285">
      <c r="A285" s="96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</row>
    <row r="286">
      <c r="A286" s="96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</row>
    <row r="287">
      <c r="A287" s="96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</row>
    <row r="288">
      <c r="A288" s="96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</row>
    <row r="289">
      <c r="A289" s="96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</row>
    <row r="290">
      <c r="A290" s="96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</row>
    <row r="291">
      <c r="A291" s="96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</row>
    <row r="292">
      <c r="A292" s="96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</row>
    <row r="293">
      <c r="A293" s="96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</row>
    <row r="294">
      <c r="A294" s="96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</row>
    <row r="295">
      <c r="A295" s="96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</row>
    <row r="296">
      <c r="A296" s="96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</row>
    <row r="297">
      <c r="A297" s="96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</row>
    <row r="298">
      <c r="A298" s="96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</row>
    <row r="299">
      <c r="A299" s="96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</row>
    <row r="300">
      <c r="A300" s="96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</row>
    <row r="301">
      <c r="A301" s="96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</row>
    <row r="302">
      <c r="A302" s="96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</row>
    <row r="303">
      <c r="A303" s="96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</row>
    <row r="304">
      <c r="A304" s="96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</row>
    <row r="305">
      <c r="A305" s="96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</row>
    <row r="306">
      <c r="A306" s="96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</row>
    <row r="307">
      <c r="A307" s="96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</row>
    <row r="308">
      <c r="A308" s="96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</row>
    <row r="309">
      <c r="A309" s="96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</row>
    <row r="310">
      <c r="A310" s="96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</row>
    <row r="311">
      <c r="A311" s="96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</row>
    <row r="312">
      <c r="A312" s="96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</row>
    <row r="313">
      <c r="A313" s="96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</row>
    <row r="314">
      <c r="A314" s="96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</row>
    <row r="315">
      <c r="A315" s="96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</row>
    <row r="316">
      <c r="A316" s="96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</row>
    <row r="317">
      <c r="A317" s="96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</row>
    <row r="318">
      <c r="A318" s="96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</row>
    <row r="319">
      <c r="A319" s="96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</row>
    <row r="320">
      <c r="A320" s="96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</row>
    <row r="321">
      <c r="A321" s="96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</row>
    <row r="322">
      <c r="A322" s="96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</row>
    <row r="323">
      <c r="A323" s="96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</row>
    <row r="324">
      <c r="A324" s="96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</row>
    <row r="325">
      <c r="A325" s="96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</row>
    <row r="326">
      <c r="A326" s="96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</row>
    <row r="327">
      <c r="A327" s="96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</row>
    <row r="328">
      <c r="A328" s="96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</row>
    <row r="329">
      <c r="A329" s="96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</row>
    <row r="330">
      <c r="A330" s="96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</row>
    <row r="331">
      <c r="A331" s="96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</row>
    <row r="332">
      <c r="A332" s="96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</row>
    <row r="333">
      <c r="A333" s="96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</row>
    <row r="334">
      <c r="A334" s="96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</row>
    <row r="335">
      <c r="A335" s="96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</row>
    <row r="336">
      <c r="A336" s="96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</row>
    <row r="337">
      <c r="A337" s="96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</row>
    <row r="338">
      <c r="A338" s="96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</row>
    <row r="339">
      <c r="A339" s="96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</row>
    <row r="340">
      <c r="A340" s="96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</row>
    <row r="341">
      <c r="A341" s="96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</row>
    <row r="342">
      <c r="A342" s="96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</row>
    <row r="343">
      <c r="A343" s="96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</row>
    <row r="344">
      <c r="A344" s="96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</row>
    <row r="345">
      <c r="A345" s="96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</row>
    <row r="346">
      <c r="A346" s="96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</row>
    <row r="347">
      <c r="A347" s="96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</row>
    <row r="348">
      <c r="A348" s="96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</row>
    <row r="349">
      <c r="A349" s="96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</row>
    <row r="350">
      <c r="A350" s="96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</row>
    <row r="351">
      <c r="A351" s="96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</row>
    <row r="352">
      <c r="A352" s="96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</row>
    <row r="353">
      <c r="A353" s="96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</row>
    <row r="354">
      <c r="A354" s="96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</row>
    <row r="355">
      <c r="A355" s="96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</row>
    <row r="356">
      <c r="A356" s="96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</row>
    <row r="357">
      <c r="A357" s="96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</row>
    <row r="358">
      <c r="A358" s="96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</row>
    <row r="359">
      <c r="A359" s="96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</row>
    <row r="360">
      <c r="A360" s="96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</row>
    <row r="361">
      <c r="A361" s="96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</row>
    <row r="362">
      <c r="A362" s="96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</row>
    <row r="363">
      <c r="A363" s="96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</row>
    <row r="364">
      <c r="A364" s="96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</row>
    <row r="365">
      <c r="A365" s="96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</row>
    <row r="366">
      <c r="A366" s="96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</row>
    <row r="367">
      <c r="A367" s="96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</row>
    <row r="368">
      <c r="A368" s="96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</row>
    <row r="369">
      <c r="A369" s="96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</row>
    <row r="370">
      <c r="A370" s="96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</row>
    <row r="371">
      <c r="A371" s="96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</row>
    <row r="372">
      <c r="A372" s="96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</row>
    <row r="373">
      <c r="A373" s="96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</row>
    <row r="374">
      <c r="A374" s="96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</row>
    <row r="375">
      <c r="A375" s="96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</row>
    <row r="376">
      <c r="A376" s="96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</row>
    <row r="377">
      <c r="A377" s="96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</row>
    <row r="378">
      <c r="A378" s="96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</row>
    <row r="379">
      <c r="A379" s="96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</row>
    <row r="380">
      <c r="A380" s="96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</row>
    <row r="381">
      <c r="A381" s="96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</row>
    <row r="382">
      <c r="A382" s="96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</row>
    <row r="383">
      <c r="A383" s="96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</row>
    <row r="384">
      <c r="A384" s="96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</row>
    <row r="385">
      <c r="A385" s="96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</row>
    <row r="386">
      <c r="A386" s="96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</row>
    <row r="387">
      <c r="A387" s="96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</row>
    <row r="388">
      <c r="A388" s="96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</row>
    <row r="389">
      <c r="A389" s="96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</row>
    <row r="390">
      <c r="A390" s="96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</row>
    <row r="391">
      <c r="A391" s="96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</row>
    <row r="392">
      <c r="A392" s="96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</row>
    <row r="393">
      <c r="A393" s="96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</row>
    <row r="394">
      <c r="A394" s="96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</row>
    <row r="395">
      <c r="A395" s="96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</row>
    <row r="396">
      <c r="A396" s="96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</row>
    <row r="397">
      <c r="A397" s="96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</row>
    <row r="398">
      <c r="A398" s="96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</row>
    <row r="399">
      <c r="A399" s="96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</row>
    <row r="400">
      <c r="A400" s="96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</row>
    <row r="401">
      <c r="A401" s="96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</row>
    <row r="402">
      <c r="A402" s="96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</row>
    <row r="403">
      <c r="A403" s="96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</row>
    <row r="404">
      <c r="A404" s="96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</row>
    <row r="405">
      <c r="A405" s="96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</row>
    <row r="406">
      <c r="A406" s="96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</row>
    <row r="407">
      <c r="A407" s="96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</row>
    <row r="408">
      <c r="A408" s="96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</row>
    <row r="409">
      <c r="A409" s="96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</row>
    <row r="410">
      <c r="A410" s="96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</row>
    <row r="411">
      <c r="A411" s="96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</row>
    <row r="412">
      <c r="A412" s="96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</row>
    <row r="413">
      <c r="A413" s="96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</row>
    <row r="414">
      <c r="A414" s="96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</row>
    <row r="415">
      <c r="A415" s="96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</row>
    <row r="416">
      <c r="A416" s="96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</row>
    <row r="417">
      <c r="A417" s="96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</row>
    <row r="418">
      <c r="A418" s="96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</row>
    <row r="419">
      <c r="A419" s="96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</row>
    <row r="420">
      <c r="A420" s="96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</row>
    <row r="421">
      <c r="A421" s="96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</row>
    <row r="422">
      <c r="A422" s="96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</row>
    <row r="423">
      <c r="A423" s="96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</row>
    <row r="424">
      <c r="A424" s="96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</row>
    <row r="425">
      <c r="A425" s="96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</row>
    <row r="426">
      <c r="A426" s="96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</row>
    <row r="427">
      <c r="A427" s="96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</row>
    <row r="428">
      <c r="A428" s="96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</row>
    <row r="429">
      <c r="A429" s="96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</row>
    <row r="430">
      <c r="A430" s="96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</row>
    <row r="431">
      <c r="A431" s="96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</row>
    <row r="432">
      <c r="A432" s="96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</row>
    <row r="433">
      <c r="A433" s="96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</row>
    <row r="434">
      <c r="A434" s="96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</row>
    <row r="435">
      <c r="A435" s="96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</row>
    <row r="436">
      <c r="A436" s="96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</row>
    <row r="437">
      <c r="A437" s="96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</row>
    <row r="438">
      <c r="A438" s="96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</row>
    <row r="439">
      <c r="A439" s="96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</row>
    <row r="440">
      <c r="A440" s="96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</row>
    <row r="441">
      <c r="A441" s="96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</row>
    <row r="442">
      <c r="A442" s="96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</row>
    <row r="443">
      <c r="A443" s="96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</row>
    <row r="444">
      <c r="A444" s="96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</row>
    <row r="445">
      <c r="A445" s="96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</row>
    <row r="446">
      <c r="A446" s="96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</row>
    <row r="447">
      <c r="A447" s="96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</row>
    <row r="448">
      <c r="A448" s="96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</row>
    <row r="449">
      <c r="A449" s="96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</row>
    <row r="450">
      <c r="A450" s="96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</row>
    <row r="451">
      <c r="A451" s="96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</row>
    <row r="452">
      <c r="A452" s="96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</row>
    <row r="453">
      <c r="A453" s="96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</row>
    <row r="454">
      <c r="A454" s="96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</row>
    <row r="455">
      <c r="A455" s="96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</row>
    <row r="456">
      <c r="A456" s="96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</row>
    <row r="457">
      <c r="A457" s="96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</row>
    <row r="458">
      <c r="A458" s="96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</row>
    <row r="459">
      <c r="A459" s="96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</row>
    <row r="460">
      <c r="A460" s="96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</row>
    <row r="461">
      <c r="A461" s="96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</row>
    <row r="462">
      <c r="A462" s="96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</row>
    <row r="463">
      <c r="A463" s="96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</row>
    <row r="464">
      <c r="A464" s="96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</row>
    <row r="465">
      <c r="A465" s="96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</row>
    <row r="466">
      <c r="A466" s="96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</row>
    <row r="467">
      <c r="A467" s="96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</row>
    <row r="468">
      <c r="A468" s="96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</row>
    <row r="469">
      <c r="A469" s="96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</row>
    <row r="470">
      <c r="A470" s="96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</row>
    <row r="471">
      <c r="A471" s="96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</row>
    <row r="472">
      <c r="A472" s="96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</row>
    <row r="473">
      <c r="A473" s="96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</row>
    <row r="474">
      <c r="A474" s="96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</row>
    <row r="475">
      <c r="A475" s="96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</row>
    <row r="476">
      <c r="A476" s="96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</row>
    <row r="477">
      <c r="A477" s="96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</row>
    <row r="478">
      <c r="A478" s="96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</row>
    <row r="479">
      <c r="A479" s="96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</row>
    <row r="480">
      <c r="A480" s="96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</row>
    <row r="481">
      <c r="A481" s="96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</row>
    <row r="482">
      <c r="A482" s="96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</row>
    <row r="483">
      <c r="A483" s="96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</row>
    <row r="484">
      <c r="A484" s="96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</row>
    <row r="485">
      <c r="A485" s="96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</row>
    <row r="486">
      <c r="A486" s="96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</row>
    <row r="487">
      <c r="A487" s="96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</row>
    <row r="488">
      <c r="A488" s="96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</row>
    <row r="489">
      <c r="A489" s="96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</row>
    <row r="490">
      <c r="A490" s="96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</row>
    <row r="491">
      <c r="A491" s="96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</row>
    <row r="492">
      <c r="A492" s="96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</row>
    <row r="493">
      <c r="A493" s="96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</row>
    <row r="494">
      <c r="A494" s="96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</row>
    <row r="495">
      <c r="A495" s="96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</row>
    <row r="496">
      <c r="A496" s="96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</row>
    <row r="497">
      <c r="A497" s="96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</row>
    <row r="498">
      <c r="A498" s="96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</row>
    <row r="499">
      <c r="A499" s="96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</row>
    <row r="500">
      <c r="A500" s="96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</row>
    <row r="501">
      <c r="A501" s="96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</row>
    <row r="502">
      <c r="A502" s="96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</row>
    <row r="503">
      <c r="A503" s="96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</row>
    <row r="504">
      <c r="A504" s="96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</row>
    <row r="505">
      <c r="A505" s="96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</row>
    <row r="506">
      <c r="A506" s="96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</row>
    <row r="507">
      <c r="A507" s="96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</row>
    <row r="508">
      <c r="A508" s="96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</row>
    <row r="509">
      <c r="A509" s="96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</row>
    <row r="510">
      <c r="A510" s="96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</row>
    <row r="511">
      <c r="A511" s="96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</row>
    <row r="512">
      <c r="A512" s="96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</row>
    <row r="513">
      <c r="A513" s="96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</row>
    <row r="514">
      <c r="A514" s="96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</row>
    <row r="515">
      <c r="A515" s="96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</row>
    <row r="516">
      <c r="A516" s="96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</row>
    <row r="517">
      <c r="A517" s="96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</row>
    <row r="518">
      <c r="A518" s="96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</row>
    <row r="519">
      <c r="A519" s="96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</row>
    <row r="520">
      <c r="A520" s="96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</row>
    <row r="521">
      <c r="A521" s="96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</row>
    <row r="522">
      <c r="A522" s="96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</row>
    <row r="523">
      <c r="A523" s="96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</row>
    <row r="524">
      <c r="A524" s="96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</row>
    <row r="525">
      <c r="A525" s="96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</row>
    <row r="526">
      <c r="A526" s="96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</row>
    <row r="527">
      <c r="A527" s="96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</row>
    <row r="528">
      <c r="A528" s="96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</row>
    <row r="529">
      <c r="A529" s="96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</row>
    <row r="530">
      <c r="A530" s="96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</row>
    <row r="531">
      <c r="A531" s="96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</row>
    <row r="532">
      <c r="A532" s="96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</row>
    <row r="533">
      <c r="A533" s="96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</row>
    <row r="534">
      <c r="A534" s="96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</row>
    <row r="535">
      <c r="A535" s="96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</row>
    <row r="536">
      <c r="A536" s="96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</row>
    <row r="537">
      <c r="A537" s="96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</row>
    <row r="538">
      <c r="A538" s="96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</row>
    <row r="539">
      <c r="A539" s="96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</row>
    <row r="540">
      <c r="A540" s="96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</row>
    <row r="541">
      <c r="A541" s="96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</row>
    <row r="542">
      <c r="A542" s="96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</row>
    <row r="543">
      <c r="A543" s="96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</row>
    <row r="544">
      <c r="A544" s="96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</row>
    <row r="545">
      <c r="A545" s="96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</row>
    <row r="546">
      <c r="A546" s="96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</row>
    <row r="547">
      <c r="A547" s="96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</row>
    <row r="548">
      <c r="A548" s="96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</row>
    <row r="549">
      <c r="A549" s="96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</row>
    <row r="550">
      <c r="A550" s="96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</row>
    <row r="551">
      <c r="A551" s="96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</row>
    <row r="552">
      <c r="A552" s="96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</row>
    <row r="553">
      <c r="A553" s="96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</row>
    <row r="554">
      <c r="A554" s="96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</row>
    <row r="555">
      <c r="A555" s="96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</row>
    <row r="556">
      <c r="A556" s="96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</row>
    <row r="557">
      <c r="A557" s="96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</row>
    <row r="558">
      <c r="A558" s="96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</row>
    <row r="559">
      <c r="A559" s="96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</row>
    <row r="560">
      <c r="A560" s="96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</row>
    <row r="561">
      <c r="A561" s="96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</row>
    <row r="562">
      <c r="A562" s="96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</row>
    <row r="563">
      <c r="A563" s="96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</row>
    <row r="564">
      <c r="A564" s="96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</row>
    <row r="565">
      <c r="A565" s="96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</row>
    <row r="566">
      <c r="A566" s="96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</row>
    <row r="567">
      <c r="A567" s="96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</row>
    <row r="568">
      <c r="A568" s="96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</row>
    <row r="569">
      <c r="A569" s="96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</row>
    <row r="570">
      <c r="A570" s="96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</row>
    <row r="571">
      <c r="A571" s="96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</row>
    <row r="572">
      <c r="A572" s="96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</row>
    <row r="573">
      <c r="A573" s="96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</row>
    <row r="574">
      <c r="A574" s="96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</row>
    <row r="575">
      <c r="A575" s="96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</row>
    <row r="576">
      <c r="A576" s="96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</row>
    <row r="577">
      <c r="A577" s="96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</row>
    <row r="578">
      <c r="A578" s="96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</row>
    <row r="579">
      <c r="A579" s="96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</row>
    <row r="580">
      <c r="A580" s="96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</row>
    <row r="581">
      <c r="A581" s="96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</row>
    <row r="582">
      <c r="A582" s="96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</row>
    <row r="583">
      <c r="A583" s="96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</row>
    <row r="584">
      <c r="A584" s="96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</row>
    <row r="585">
      <c r="A585" s="96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</row>
    <row r="586">
      <c r="A586" s="96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</row>
    <row r="587">
      <c r="A587" s="96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</row>
    <row r="588">
      <c r="A588" s="96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</row>
    <row r="589">
      <c r="A589" s="96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</row>
    <row r="590">
      <c r="A590" s="96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</row>
    <row r="591">
      <c r="A591" s="96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</row>
    <row r="592">
      <c r="A592" s="96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</row>
    <row r="593">
      <c r="A593" s="96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</row>
    <row r="594">
      <c r="A594" s="96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</row>
    <row r="595">
      <c r="A595" s="96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</row>
    <row r="596">
      <c r="A596" s="96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</row>
    <row r="597">
      <c r="A597" s="96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</row>
    <row r="598">
      <c r="A598" s="96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</row>
    <row r="599">
      <c r="A599" s="96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</row>
    <row r="600">
      <c r="A600" s="96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</row>
    <row r="601">
      <c r="A601" s="96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</row>
    <row r="602">
      <c r="A602" s="96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</row>
    <row r="603">
      <c r="A603" s="96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</row>
    <row r="604">
      <c r="A604" s="96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</row>
    <row r="605">
      <c r="A605" s="96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</row>
    <row r="606">
      <c r="A606" s="96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</row>
    <row r="607">
      <c r="A607" s="96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</row>
    <row r="608">
      <c r="A608" s="96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</row>
    <row r="609">
      <c r="A609" s="96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</row>
    <row r="610">
      <c r="A610" s="96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</row>
    <row r="611">
      <c r="A611" s="96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</row>
    <row r="612">
      <c r="A612" s="96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</row>
    <row r="613">
      <c r="A613" s="96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</row>
    <row r="614">
      <c r="A614" s="96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</row>
    <row r="615">
      <c r="A615" s="96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</row>
    <row r="616">
      <c r="A616" s="96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</row>
    <row r="617">
      <c r="A617" s="96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</row>
    <row r="618">
      <c r="A618" s="96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</row>
    <row r="619">
      <c r="A619" s="96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</row>
    <row r="620">
      <c r="A620" s="96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</row>
    <row r="621">
      <c r="A621" s="96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</row>
    <row r="622">
      <c r="A622" s="96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</row>
    <row r="623">
      <c r="A623" s="96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</row>
    <row r="624">
      <c r="A624" s="96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</row>
    <row r="625">
      <c r="A625" s="96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</row>
    <row r="626">
      <c r="A626" s="96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</row>
    <row r="627">
      <c r="A627" s="96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</row>
    <row r="628">
      <c r="A628" s="96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</row>
    <row r="629">
      <c r="A629" s="96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</row>
    <row r="630">
      <c r="A630" s="96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</row>
    <row r="631">
      <c r="A631" s="96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</row>
    <row r="632">
      <c r="A632" s="96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</row>
    <row r="633">
      <c r="A633" s="96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</row>
    <row r="634">
      <c r="A634" s="96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</row>
    <row r="635">
      <c r="A635" s="96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</row>
    <row r="636">
      <c r="A636" s="96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</row>
    <row r="637">
      <c r="A637" s="96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</row>
    <row r="638">
      <c r="A638" s="96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</row>
    <row r="639">
      <c r="A639" s="96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</row>
    <row r="640">
      <c r="A640" s="96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</row>
    <row r="641">
      <c r="A641" s="96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</row>
    <row r="642">
      <c r="A642" s="96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</row>
    <row r="643">
      <c r="A643" s="96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</row>
    <row r="644">
      <c r="A644" s="96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</row>
    <row r="645">
      <c r="A645" s="96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</row>
    <row r="646">
      <c r="A646" s="96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</row>
    <row r="647">
      <c r="A647" s="96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</row>
    <row r="648">
      <c r="A648" s="96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</row>
    <row r="649">
      <c r="A649" s="96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</row>
    <row r="650">
      <c r="A650" s="96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</row>
    <row r="651">
      <c r="A651" s="96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</row>
    <row r="652">
      <c r="A652" s="96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</row>
    <row r="653">
      <c r="A653" s="96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</row>
    <row r="654">
      <c r="A654" s="96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</row>
    <row r="655">
      <c r="A655" s="96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</row>
    <row r="656">
      <c r="A656" s="96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</row>
    <row r="657">
      <c r="A657" s="96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</row>
    <row r="658">
      <c r="A658" s="96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</row>
    <row r="659">
      <c r="A659" s="96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</row>
    <row r="660">
      <c r="A660" s="96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</row>
    <row r="661">
      <c r="A661" s="96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</row>
    <row r="662">
      <c r="A662" s="96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</row>
    <row r="663">
      <c r="A663" s="96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</row>
    <row r="664">
      <c r="A664" s="96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</row>
    <row r="665">
      <c r="A665" s="96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</row>
    <row r="666">
      <c r="A666" s="96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</row>
    <row r="667">
      <c r="A667" s="96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</row>
    <row r="668">
      <c r="A668" s="96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</row>
    <row r="669">
      <c r="A669" s="96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</row>
    <row r="670">
      <c r="A670" s="96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</row>
    <row r="671">
      <c r="A671" s="96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</row>
    <row r="672">
      <c r="A672" s="96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</row>
    <row r="673">
      <c r="A673" s="96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</row>
    <row r="674">
      <c r="A674" s="96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</row>
    <row r="675">
      <c r="A675" s="96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</row>
    <row r="676">
      <c r="A676" s="96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</row>
    <row r="677">
      <c r="A677" s="96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</row>
    <row r="678">
      <c r="A678" s="96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</row>
    <row r="679">
      <c r="A679" s="96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</row>
    <row r="680">
      <c r="A680" s="96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</row>
    <row r="681">
      <c r="A681" s="96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</row>
    <row r="682">
      <c r="A682" s="96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</row>
    <row r="683">
      <c r="A683" s="96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</row>
    <row r="684">
      <c r="A684" s="96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</row>
    <row r="685">
      <c r="A685" s="96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</row>
    <row r="686">
      <c r="A686" s="96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</row>
    <row r="687">
      <c r="A687" s="96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</row>
    <row r="688">
      <c r="A688" s="96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</row>
    <row r="689">
      <c r="A689" s="96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</row>
    <row r="690">
      <c r="A690" s="96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</row>
    <row r="691">
      <c r="A691" s="96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</row>
    <row r="692">
      <c r="A692" s="96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</row>
    <row r="693">
      <c r="A693" s="96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</row>
    <row r="694">
      <c r="A694" s="96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</row>
    <row r="695">
      <c r="A695" s="96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</row>
    <row r="696">
      <c r="A696" s="96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</row>
    <row r="697">
      <c r="A697" s="96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</row>
    <row r="698">
      <c r="A698" s="96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</row>
    <row r="699">
      <c r="A699" s="96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</row>
    <row r="700">
      <c r="A700" s="96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</row>
    <row r="701">
      <c r="A701" s="96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</row>
    <row r="702">
      <c r="A702" s="96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</row>
    <row r="703">
      <c r="A703" s="96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</row>
    <row r="704">
      <c r="A704" s="96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</row>
    <row r="705">
      <c r="A705" s="96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</row>
    <row r="706">
      <c r="A706" s="96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</row>
    <row r="707">
      <c r="A707" s="96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</row>
    <row r="708">
      <c r="A708" s="96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</row>
    <row r="709">
      <c r="A709" s="96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</row>
    <row r="710">
      <c r="A710" s="96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</row>
    <row r="711">
      <c r="A711" s="96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</row>
    <row r="712">
      <c r="A712" s="96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</row>
    <row r="713">
      <c r="A713" s="96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</row>
    <row r="714">
      <c r="A714" s="96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</row>
    <row r="715">
      <c r="A715" s="96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</row>
    <row r="716">
      <c r="A716" s="96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</row>
    <row r="717">
      <c r="A717" s="96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</row>
    <row r="718">
      <c r="A718" s="96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</row>
    <row r="719">
      <c r="A719" s="96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</row>
    <row r="720">
      <c r="A720" s="96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</row>
    <row r="721">
      <c r="A721" s="96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</row>
    <row r="722">
      <c r="A722" s="96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</row>
    <row r="723">
      <c r="A723" s="96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</row>
    <row r="724">
      <c r="A724" s="96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</row>
    <row r="725">
      <c r="A725" s="96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</row>
    <row r="726">
      <c r="A726" s="96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</row>
    <row r="727">
      <c r="A727" s="96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</row>
    <row r="728">
      <c r="A728" s="96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</row>
    <row r="729">
      <c r="A729" s="96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</row>
    <row r="730">
      <c r="A730" s="96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</row>
    <row r="731">
      <c r="A731" s="96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</row>
    <row r="732">
      <c r="A732" s="96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</row>
    <row r="733">
      <c r="A733" s="96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</row>
    <row r="734">
      <c r="A734" s="96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</row>
    <row r="735">
      <c r="A735" s="96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</row>
    <row r="736">
      <c r="A736" s="96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</row>
    <row r="737">
      <c r="A737" s="96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</row>
    <row r="738">
      <c r="A738" s="96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</row>
    <row r="739">
      <c r="A739" s="96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</row>
    <row r="740">
      <c r="A740" s="96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</row>
    <row r="741">
      <c r="A741" s="96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</row>
    <row r="742">
      <c r="A742" s="96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</row>
    <row r="743">
      <c r="A743" s="96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</row>
    <row r="744">
      <c r="A744" s="96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</row>
    <row r="745">
      <c r="A745" s="96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</row>
    <row r="746">
      <c r="A746" s="96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</row>
    <row r="747">
      <c r="A747" s="96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</row>
    <row r="748">
      <c r="A748" s="96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</row>
    <row r="749">
      <c r="A749" s="96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</row>
    <row r="750">
      <c r="A750" s="96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</row>
    <row r="751">
      <c r="A751" s="96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</row>
    <row r="752">
      <c r="A752" s="96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</row>
    <row r="753">
      <c r="A753" s="96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</row>
    <row r="754">
      <c r="A754" s="96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</row>
    <row r="755">
      <c r="A755" s="96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</row>
    <row r="756">
      <c r="A756" s="96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</row>
    <row r="757">
      <c r="A757" s="96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</row>
    <row r="758">
      <c r="A758" s="96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</row>
    <row r="759">
      <c r="A759" s="96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</row>
    <row r="760">
      <c r="A760" s="96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</row>
    <row r="761">
      <c r="A761" s="96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</row>
    <row r="762">
      <c r="A762" s="96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</row>
    <row r="763">
      <c r="A763" s="96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</row>
    <row r="764">
      <c r="A764" s="96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</row>
    <row r="765">
      <c r="A765" s="96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</row>
    <row r="766">
      <c r="A766" s="96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</row>
    <row r="767">
      <c r="A767" s="96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</row>
    <row r="768">
      <c r="A768" s="96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</row>
    <row r="769">
      <c r="A769" s="96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</row>
    <row r="770">
      <c r="A770" s="96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</row>
    <row r="771">
      <c r="A771" s="96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</row>
    <row r="772">
      <c r="A772" s="96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</row>
    <row r="773">
      <c r="A773" s="96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</row>
    <row r="774">
      <c r="A774" s="96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</row>
    <row r="775">
      <c r="A775" s="96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</row>
    <row r="776">
      <c r="A776" s="96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</row>
    <row r="777">
      <c r="A777" s="96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</row>
    <row r="778">
      <c r="A778" s="96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</row>
    <row r="779">
      <c r="A779" s="96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</row>
    <row r="780">
      <c r="A780" s="96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</row>
    <row r="781">
      <c r="A781" s="96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</row>
    <row r="782">
      <c r="A782" s="96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</row>
    <row r="783">
      <c r="A783" s="96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</row>
    <row r="784">
      <c r="A784" s="96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</row>
    <row r="785">
      <c r="A785" s="96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</row>
    <row r="786">
      <c r="A786" s="96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</row>
    <row r="787">
      <c r="A787" s="96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</row>
    <row r="788">
      <c r="A788" s="96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</row>
    <row r="789">
      <c r="A789" s="96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</row>
    <row r="790">
      <c r="A790" s="96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</row>
    <row r="791">
      <c r="A791" s="96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</row>
    <row r="792">
      <c r="A792" s="96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</row>
    <row r="793">
      <c r="A793" s="96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</row>
    <row r="794">
      <c r="A794" s="96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</row>
    <row r="795">
      <c r="A795" s="96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</row>
    <row r="796">
      <c r="A796" s="96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</row>
    <row r="797">
      <c r="A797" s="96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</row>
    <row r="798">
      <c r="A798" s="96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</row>
    <row r="799">
      <c r="A799" s="96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</row>
    <row r="800">
      <c r="A800" s="96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</row>
    <row r="801">
      <c r="A801" s="96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</row>
    <row r="802">
      <c r="A802" s="96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</row>
    <row r="803">
      <c r="A803" s="96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</row>
    <row r="804">
      <c r="A804" s="96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</row>
    <row r="805">
      <c r="A805" s="96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</row>
    <row r="806">
      <c r="A806" s="96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</row>
    <row r="807">
      <c r="A807" s="96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</row>
    <row r="808">
      <c r="A808" s="96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</row>
    <row r="809">
      <c r="A809" s="96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</row>
    <row r="810">
      <c r="A810" s="96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</row>
    <row r="811">
      <c r="A811" s="96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</row>
    <row r="812">
      <c r="A812" s="96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</row>
    <row r="813">
      <c r="A813" s="96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</row>
    <row r="814">
      <c r="A814" s="96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</row>
    <row r="815">
      <c r="A815" s="96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</row>
    <row r="816">
      <c r="A816" s="96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</row>
    <row r="817">
      <c r="A817" s="96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</row>
    <row r="818">
      <c r="A818" s="96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</row>
    <row r="819">
      <c r="A819" s="96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</row>
    <row r="820">
      <c r="A820" s="96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</row>
    <row r="821">
      <c r="A821" s="96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</row>
    <row r="822">
      <c r="A822" s="96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</row>
    <row r="823">
      <c r="A823" s="96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</row>
    <row r="824">
      <c r="A824" s="96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</row>
    <row r="825">
      <c r="A825" s="96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</row>
    <row r="826">
      <c r="A826" s="96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</row>
    <row r="827">
      <c r="A827" s="96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</row>
    <row r="828">
      <c r="A828" s="96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</row>
    <row r="829">
      <c r="A829" s="96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</row>
    <row r="830">
      <c r="A830" s="96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</row>
    <row r="831">
      <c r="A831" s="96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</row>
    <row r="832">
      <c r="A832" s="96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</row>
    <row r="833">
      <c r="A833" s="96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</row>
    <row r="834">
      <c r="A834" s="96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</row>
    <row r="835">
      <c r="A835" s="96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</row>
    <row r="836">
      <c r="A836" s="96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</row>
    <row r="837">
      <c r="A837" s="96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</row>
    <row r="838">
      <c r="A838" s="96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</row>
    <row r="839">
      <c r="A839" s="96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</row>
    <row r="840">
      <c r="A840" s="96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</row>
    <row r="841">
      <c r="A841" s="96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</row>
    <row r="842">
      <c r="A842" s="96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</row>
    <row r="843">
      <c r="A843" s="96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</row>
    <row r="844">
      <c r="A844" s="96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</row>
    <row r="845">
      <c r="A845" s="96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</row>
    <row r="846">
      <c r="A846" s="96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</row>
    <row r="847">
      <c r="A847" s="96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</row>
    <row r="848">
      <c r="A848" s="96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</row>
    <row r="849">
      <c r="A849" s="96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</row>
    <row r="850">
      <c r="A850" s="96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</row>
    <row r="851">
      <c r="A851" s="96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</row>
    <row r="852">
      <c r="A852" s="96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</row>
    <row r="853">
      <c r="A853" s="96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</row>
    <row r="854">
      <c r="A854" s="96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</row>
    <row r="855">
      <c r="A855" s="96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</row>
    <row r="856">
      <c r="A856" s="96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</row>
    <row r="857">
      <c r="A857" s="96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</row>
    <row r="858">
      <c r="A858" s="96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</row>
    <row r="859">
      <c r="A859" s="96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</row>
    <row r="860">
      <c r="A860" s="96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</row>
    <row r="861">
      <c r="A861" s="96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</row>
    <row r="862">
      <c r="A862" s="96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</row>
    <row r="863">
      <c r="A863" s="96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</row>
    <row r="864">
      <c r="A864" s="96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</row>
    <row r="865">
      <c r="A865" s="96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</row>
    <row r="866">
      <c r="A866" s="96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</row>
    <row r="867">
      <c r="A867" s="96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</row>
    <row r="868">
      <c r="A868" s="96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</row>
    <row r="869">
      <c r="A869" s="96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</row>
    <row r="870">
      <c r="A870" s="96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</row>
    <row r="871">
      <c r="A871" s="96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</row>
    <row r="872">
      <c r="A872" s="96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</row>
    <row r="873">
      <c r="A873" s="96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</row>
    <row r="874">
      <c r="A874" s="96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</row>
    <row r="875">
      <c r="A875" s="96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</row>
    <row r="876">
      <c r="A876" s="96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</row>
    <row r="877">
      <c r="A877" s="96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</row>
    <row r="878">
      <c r="A878" s="96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</row>
    <row r="879">
      <c r="A879" s="96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</row>
    <row r="880">
      <c r="A880" s="96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</row>
    <row r="881">
      <c r="A881" s="96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</row>
    <row r="882">
      <c r="A882" s="96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</row>
    <row r="883">
      <c r="A883" s="96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</row>
    <row r="884">
      <c r="A884" s="96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</row>
    <row r="885">
      <c r="A885" s="96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</row>
    <row r="886">
      <c r="A886" s="96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</row>
    <row r="887">
      <c r="A887" s="96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</row>
    <row r="888">
      <c r="A888" s="96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</row>
    <row r="889">
      <c r="A889" s="96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</row>
    <row r="890">
      <c r="A890" s="96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</row>
    <row r="891">
      <c r="A891" s="96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</row>
    <row r="892">
      <c r="A892" s="96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</row>
    <row r="893">
      <c r="A893" s="96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</row>
    <row r="894">
      <c r="A894" s="96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</row>
    <row r="895">
      <c r="A895" s="96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</row>
    <row r="896">
      <c r="A896" s="96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</row>
    <row r="897">
      <c r="A897" s="96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</row>
    <row r="898">
      <c r="A898" s="96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</row>
    <row r="899">
      <c r="A899" s="96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</row>
    <row r="900">
      <c r="A900" s="96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</row>
    <row r="901">
      <c r="A901" s="96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</row>
    <row r="902">
      <c r="A902" s="96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</row>
    <row r="903">
      <c r="A903" s="96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</row>
    <row r="904">
      <c r="A904" s="96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</row>
    <row r="905">
      <c r="A905" s="96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</row>
    <row r="906">
      <c r="A906" s="96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</row>
    <row r="907">
      <c r="A907" s="96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</row>
    <row r="908">
      <c r="A908" s="96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</row>
    <row r="909">
      <c r="A909" s="96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</row>
    <row r="910">
      <c r="A910" s="96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</row>
    <row r="911">
      <c r="A911" s="96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</row>
    <row r="912">
      <c r="A912" s="96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</row>
    <row r="913">
      <c r="A913" s="96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</row>
    <row r="914">
      <c r="A914" s="96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</row>
    <row r="915">
      <c r="A915" s="96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</row>
    <row r="916">
      <c r="A916" s="96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</row>
    <row r="917">
      <c r="A917" s="96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</row>
    <row r="918">
      <c r="A918" s="96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</row>
    <row r="919">
      <c r="A919" s="96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</row>
    <row r="920">
      <c r="A920" s="96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</row>
    <row r="921">
      <c r="A921" s="96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</row>
    <row r="922">
      <c r="A922" s="96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</row>
    <row r="923">
      <c r="A923" s="96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</row>
    <row r="924">
      <c r="A924" s="96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</row>
    <row r="925">
      <c r="A925" s="96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</row>
    <row r="926">
      <c r="A926" s="96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</row>
    <row r="927">
      <c r="A927" s="96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</row>
    <row r="928">
      <c r="A928" s="96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</row>
    <row r="929">
      <c r="A929" s="96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</row>
    <row r="930">
      <c r="A930" s="96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</row>
    <row r="931">
      <c r="A931" s="96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</row>
    <row r="932">
      <c r="A932" s="96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</row>
    <row r="933">
      <c r="A933" s="96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</row>
    <row r="934">
      <c r="A934" s="96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</row>
    <row r="935">
      <c r="A935" s="96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</row>
    <row r="936">
      <c r="A936" s="96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</row>
    <row r="937">
      <c r="A937" s="96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</row>
    <row r="938">
      <c r="A938" s="96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</row>
    <row r="939">
      <c r="A939" s="96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</row>
    <row r="940">
      <c r="A940" s="96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</row>
    <row r="941">
      <c r="A941" s="96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</row>
    <row r="942">
      <c r="A942" s="96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</row>
    <row r="943">
      <c r="A943" s="96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</row>
    <row r="944">
      <c r="A944" s="96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</row>
    <row r="945">
      <c r="A945" s="96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</row>
    <row r="946">
      <c r="A946" s="96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</row>
    <row r="947">
      <c r="A947" s="96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</row>
    <row r="948">
      <c r="A948" s="96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</row>
    <row r="949">
      <c r="A949" s="96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</row>
    <row r="950">
      <c r="A950" s="96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</row>
    <row r="951">
      <c r="A951" s="96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</row>
    <row r="952">
      <c r="A952" s="96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</row>
    <row r="953">
      <c r="A953" s="96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</row>
    <row r="954">
      <c r="A954" s="96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</row>
    <row r="955">
      <c r="A955" s="96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</row>
    <row r="956">
      <c r="A956" s="96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</row>
    <row r="957">
      <c r="A957" s="96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</row>
    <row r="958">
      <c r="A958" s="96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</row>
    <row r="959">
      <c r="A959" s="96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</row>
    <row r="960">
      <c r="A960" s="96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</row>
    <row r="961">
      <c r="A961" s="96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</row>
    <row r="962">
      <c r="A962" s="96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</row>
    <row r="963">
      <c r="A963" s="96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</row>
    <row r="964">
      <c r="A964" s="96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</row>
    <row r="965">
      <c r="A965" s="96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</row>
    <row r="966">
      <c r="A966" s="96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</row>
    <row r="967">
      <c r="A967" s="96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</row>
    <row r="968">
      <c r="A968" s="96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</row>
    <row r="969">
      <c r="A969" s="96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</row>
    <row r="970">
      <c r="A970" s="96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</row>
    <row r="971">
      <c r="A971" s="96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</row>
    <row r="972">
      <c r="A972" s="96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</row>
    <row r="973">
      <c r="A973" s="96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</row>
    <row r="974">
      <c r="A974" s="96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</row>
    <row r="975">
      <c r="A975" s="96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</row>
    <row r="976">
      <c r="A976" s="96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</row>
    <row r="977">
      <c r="A977" s="96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</row>
    <row r="978">
      <c r="A978" s="96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</row>
    <row r="979">
      <c r="A979" s="96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</row>
    <row r="980">
      <c r="A980" s="96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</row>
    <row r="981">
      <c r="A981" s="96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</row>
    <row r="982">
      <c r="A982" s="96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</row>
    <row r="983">
      <c r="A983" s="96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</row>
    <row r="984">
      <c r="A984" s="96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</row>
    <row r="985">
      <c r="A985" s="96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</row>
    <row r="986">
      <c r="A986" s="96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</row>
    <row r="987">
      <c r="A987" s="96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</row>
    <row r="988">
      <c r="A988" s="96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</row>
    <row r="989">
      <c r="A989" s="96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</row>
    <row r="990">
      <c r="A990" s="96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</row>
    <row r="991">
      <c r="A991" s="96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</row>
    <row r="992">
      <c r="A992" s="96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</row>
    <row r="993">
      <c r="A993" s="96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</row>
    <row r="994">
      <c r="A994" s="96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</row>
    <row r="995">
      <c r="A995" s="96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</row>
    <row r="996">
      <c r="A996" s="96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</row>
    <row r="997">
      <c r="A997" s="96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</row>
    <row r="998">
      <c r="A998" s="96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</row>
    <row r="999">
      <c r="A999" s="96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</row>
    <row r="1000">
      <c r="A1000" s="96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</row>
    <row r="1001">
      <c r="A1001" s="96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</row>
    <row r="1002">
      <c r="A1002" s="96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</row>
    <row r="1003">
      <c r="A1003" s="96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</row>
    <row r="1004">
      <c r="A1004" s="96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</row>
    <row r="1005">
      <c r="A1005" s="96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</row>
    <row r="1006">
      <c r="A1006" s="96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</row>
    <row r="1007">
      <c r="A1007" s="96"/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</row>
    <row r="1008">
      <c r="A1008" s="96"/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</row>
    <row r="1009">
      <c r="A1009" s="96"/>
      <c r="B1009" s="94"/>
      <c r="C1009" s="94"/>
      <c r="D1009" s="94"/>
      <c r="E1009" s="94"/>
      <c r="F1009" s="94"/>
      <c r="G1009" s="94"/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  <c r="AA1009" s="94"/>
      <c r="AB1009" s="94"/>
      <c r="AC1009" s="94"/>
      <c r="AD1009" s="94"/>
      <c r="AE1009" s="94"/>
      <c r="AF1009" s="94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</row>
    <row r="1010">
      <c r="A1010" s="96"/>
      <c r="B1010" s="94"/>
      <c r="C1010" s="94"/>
      <c r="D1010" s="94"/>
      <c r="E1010" s="94"/>
      <c r="F1010" s="94"/>
      <c r="G1010" s="94"/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  <c r="AA1010" s="94"/>
      <c r="AB1010" s="94"/>
      <c r="AC1010" s="94"/>
      <c r="AD1010" s="94"/>
      <c r="AE1010" s="94"/>
      <c r="AF1010" s="94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</row>
    <row r="1011">
      <c r="A1011" s="96"/>
      <c r="B1011" s="94"/>
      <c r="C1011" s="94"/>
      <c r="D1011" s="94"/>
      <c r="E1011" s="94"/>
      <c r="F1011" s="94"/>
      <c r="G1011" s="94"/>
      <c r="H1011" s="94"/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  <c r="W1011" s="94"/>
      <c r="X1011" s="94"/>
      <c r="Y1011" s="94"/>
      <c r="Z1011" s="94"/>
      <c r="AA1011" s="94"/>
      <c r="AB1011" s="94"/>
      <c r="AC1011" s="94"/>
      <c r="AD1011" s="94"/>
      <c r="AE1011" s="94"/>
      <c r="AF1011" s="94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</row>
    <row r="1012">
      <c r="A1012" s="96"/>
      <c r="B1012" s="94"/>
      <c r="C1012" s="94"/>
      <c r="D1012" s="94"/>
      <c r="E1012" s="94"/>
      <c r="F1012" s="94"/>
      <c r="G1012" s="94"/>
      <c r="H1012" s="94"/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  <c r="W1012" s="94"/>
      <c r="X1012" s="94"/>
      <c r="Y1012" s="94"/>
      <c r="Z1012" s="94"/>
      <c r="AA1012" s="94"/>
      <c r="AB1012" s="94"/>
      <c r="AC1012" s="94"/>
      <c r="AD1012" s="94"/>
      <c r="AE1012" s="94"/>
      <c r="AF1012" s="94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</row>
    <row r="1013">
      <c r="A1013" s="96"/>
      <c r="B1013" s="94"/>
      <c r="C1013" s="94"/>
      <c r="D1013" s="94"/>
      <c r="E1013" s="94"/>
      <c r="F1013" s="94"/>
      <c r="G1013" s="94"/>
      <c r="H1013" s="94"/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  <c r="W1013" s="94"/>
      <c r="X1013" s="94"/>
      <c r="Y1013" s="94"/>
      <c r="Z1013" s="94"/>
      <c r="AA1013" s="94"/>
      <c r="AB1013" s="94"/>
      <c r="AC1013" s="94"/>
      <c r="AD1013" s="94"/>
      <c r="AE1013" s="94"/>
      <c r="AF1013" s="94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</row>
    <row r="1014">
      <c r="A1014" s="96"/>
      <c r="B1014" s="94"/>
      <c r="C1014" s="94"/>
      <c r="D1014" s="94"/>
      <c r="E1014" s="94"/>
      <c r="F1014" s="94"/>
      <c r="G1014" s="94"/>
      <c r="H1014" s="94"/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  <c r="W1014" s="94"/>
      <c r="X1014" s="94"/>
      <c r="Y1014" s="94"/>
      <c r="Z1014" s="94"/>
      <c r="AA1014" s="94"/>
      <c r="AB1014" s="94"/>
      <c r="AC1014" s="94"/>
      <c r="AD1014" s="94"/>
      <c r="AE1014" s="94"/>
      <c r="AF1014" s="94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</row>
    <row r="1015">
      <c r="A1015" s="96"/>
      <c r="B1015" s="94"/>
      <c r="C1015" s="94"/>
      <c r="D1015" s="94"/>
      <c r="E1015" s="94"/>
      <c r="F1015" s="94"/>
      <c r="G1015" s="94"/>
      <c r="H1015" s="94"/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  <c r="AA1015" s="94"/>
      <c r="AB1015" s="94"/>
      <c r="AC1015" s="94"/>
      <c r="AD1015" s="94"/>
      <c r="AE1015" s="94"/>
      <c r="AF1015" s="94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</row>
    <row r="1016">
      <c r="A1016" s="96"/>
      <c r="B1016" s="94"/>
      <c r="C1016" s="94"/>
      <c r="D1016" s="94"/>
      <c r="E1016" s="94"/>
      <c r="F1016" s="94"/>
      <c r="G1016" s="94"/>
      <c r="H1016" s="94"/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  <c r="AA1016" s="94"/>
      <c r="AB1016" s="94"/>
      <c r="AC1016" s="94"/>
      <c r="AD1016" s="94"/>
      <c r="AE1016" s="94"/>
      <c r="AF1016" s="94"/>
      <c r="AG1016" s="94"/>
      <c r="AH1016" s="94"/>
      <c r="AI1016" s="94"/>
      <c r="AJ1016" s="94"/>
      <c r="AK1016" s="94"/>
      <c r="AL1016" s="94"/>
      <c r="AM1016" s="94"/>
      <c r="AN1016" s="94"/>
      <c r="AO1016" s="94"/>
      <c r="AP1016" s="94"/>
    </row>
    <row r="1017">
      <c r="A1017" s="96"/>
      <c r="B1017" s="94"/>
      <c r="C1017" s="94"/>
      <c r="D1017" s="94"/>
      <c r="E1017" s="94"/>
      <c r="F1017" s="94"/>
      <c r="G1017" s="94"/>
      <c r="H1017" s="94"/>
      <c r="I1017" s="94"/>
      <c r="J1017" s="94"/>
      <c r="K1017" s="94"/>
      <c r="L1017" s="94"/>
      <c r="M1017" s="94"/>
      <c r="N1017" s="94"/>
      <c r="O1017" s="94"/>
      <c r="P1017" s="94"/>
      <c r="Q1017" s="94"/>
      <c r="R1017" s="94"/>
      <c r="S1017" s="94"/>
      <c r="T1017" s="94"/>
      <c r="U1017" s="94"/>
      <c r="V1017" s="94"/>
      <c r="W1017" s="94"/>
      <c r="X1017" s="94"/>
      <c r="Y1017" s="94"/>
      <c r="Z1017" s="94"/>
      <c r="AA1017" s="94"/>
      <c r="AB1017" s="94"/>
      <c r="AC1017" s="94"/>
      <c r="AD1017" s="94"/>
      <c r="AE1017" s="94"/>
      <c r="AF1017" s="94"/>
      <c r="AG1017" s="94"/>
      <c r="AH1017" s="94"/>
      <c r="AI1017" s="94"/>
      <c r="AJ1017" s="94"/>
      <c r="AK1017" s="94"/>
      <c r="AL1017" s="94"/>
      <c r="AM1017" s="94"/>
      <c r="AN1017" s="94"/>
      <c r="AO1017" s="94"/>
      <c r="AP1017" s="94"/>
    </row>
    <row r="1018">
      <c r="A1018" s="96"/>
      <c r="B1018" s="94"/>
      <c r="C1018" s="94"/>
      <c r="D1018" s="94"/>
      <c r="E1018" s="94"/>
      <c r="F1018" s="94"/>
      <c r="G1018" s="94"/>
      <c r="H1018" s="94"/>
      <c r="I1018" s="94"/>
      <c r="J1018" s="94"/>
      <c r="K1018" s="94"/>
      <c r="L1018" s="94"/>
      <c r="M1018" s="94"/>
      <c r="N1018" s="94"/>
      <c r="O1018" s="94"/>
      <c r="P1018" s="94"/>
      <c r="Q1018" s="94"/>
      <c r="R1018" s="94"/>
      <c r="S1018" s="94"/>
      <c r="T1018" s="94"/>
      <c r="U1018" s="94"/>
      <c r="V1018" s="94"/>
      <c r="W1018" s="94"/>
      <c r="X1018" s="94"/>
      <c r="Y1018" s="94"/>
      <c r="Z1018" s="94"/>
      <c r="AA1018" s="94"/>
      <c r="AB1018" s="94"/>
      <c r="AC1018" s="94"/>
      <c r="AD1018" s="94"/>
      <c r="AE1018" s="94"/>
      <c r="AF1018" s="94"/>
      <c r="AG1018" s="94"/>
      <c r="AH1018" s="94"/>
      <c r="AI1018" s="94"/>
      <c r="AJ1018" s="94"/>
      <c r="AK1018" s="94"/>
      <c r="AL1018" s="94"/>
      <c r="AM1018" s="94"/>
      <c r="AN1018" s="94"/>
      <c r="AO1018" s="94"/>
      <c r="AP1018" s="94"/>
    </row>
    <row r="1019">
      <c r="A1019" s="96"/>
      <c r="B1019" s="94"/>
      <c r="C1019" s="94"/>
      <c r="D1019" s="94"/>
      <c r="E1019" s="94"/>
      <c r="F1019" s="94"/>
      <c r="G1019" s="94"/>
      <c r="H1019" s="94"/>
      <c r="I1019" s="94"/>
      <c r="J1019" s="94"/>
      <c r="K1019" s="94"/>
      <c r="L1019" s="94"/>
      <c r="M1019" s="94"/>
      <c r="N1019" s="94"/>
      <c r="O1019" s="94"/>
      <c r="P1019" s="94"/>
      <c r="Q1019" s="94"/>
      <c r="R1019" s="94"/>
      <c r="S1019" s="94"/>
      <c r="T1019" s="94"/>
      <c r="U1019" s="94"/>
      <c r="V1019" s="94"/>
      <c r="W1019" s="94"/>
      <c r="X1019" s="94"/>
      <c r="Y1019" s="94"/>
      <c r="Z1019" s="94"/>
      <c r="AA1019" s="94"/>
      <c r="AB1019" s="94"/>
      <c r="AC1019" s="94"/>
      <c r="AD1019" s="94"/>
      <c r="AE1019" s="94"/>
      <c r="AF1019" s="94"/>
      <c r="AG1019" s="94"/>
      <c r="AH1019" s="94"/>
      <c r="AI1019" s="94"/>
      <c r="AJ1019" s="94"/>
      <c r="AK1019" s="94"/>
      <c r="AL1019" s="94"/>
      <c r="AM1019" s="94"/>
      <c r="AN1019" s="94"/>
      <c r="AO1019" s="94"/>
      <c r="AP1019" s="94"/>
    </row>
    <row r="1020">
      <c r="A1020" s="96"/>
      <c r="B1020" s="94"/>
      <c r="C1020" s="94"/>
      <c r="D1020" s="94"/>
      <c r="E1020" s="94"/>
      <c r="F1020" s="94"/>
      <c r="G1020" s="94"/>
      <c r="H1020" s="94"/>
      <c r="I1020" s="94"/>
      <c r="J1020" s="94"/>
      <c r="K1020" s="94"/>
      <c r="L1020" s="94"/>
      <c r="M1020" s="94"/>
      <c r="N1020" s="94"/>
      <c r="O1020" s="94"/>
      <c r="P1020" s="94"/>
      <c r="Q1020" s="94"/>
      <c r="R1020" s="94"/>
      <c r="S1020" s="94"/>
      <c r="T1020" s="94"/>
      <c r="U1020" s="94"/>
      <c r="V1020" s="94"/>
      <c r="W1020" s="94"/>
      <c r="X1020" s="94"/>
      <c r="Y1020" s="94"/>
      <c r="Z1020" s="94"/>
      <c r="AA1020" s="94"/>
      <c r="AB1020" s="94"/>
      <c r="AC1020" s="94"/>
      <c r="AD1020" s="94"/>
      <c r="AE1020" s="94"/>
      <c r="AF1020" s="94"/>
      <c r="AG1020" s="94"/>
      <c r="AH1020" s="94"/>
      <c r="AI1020" s="94"/>
      <c r="AJ1020" s="94"/>
      <c r="AK1020" s="94"/>
      <c r="AL1020" s="94"/>
      <c r="AM1020" s="94"/>
      <c r="AN1020" s="94"/>
      <c r="AO1020" s="94"/>
      <c r="AP1020" s="94"/>
    </row>
    <row r="1021">
      <c r="A1021" s="96"/>
      <c r="B1021" s="94"/>
      <c r="C1021" s="94"/>
      <c r="D1021" s="94"/>
      <c r="E1021" s="94"/>
      <c r="F1021" s="94"/>
      <c r="G1021" s="94"/>
      <c r="H1021" s="94"/>
      <c r="I1021" s="94"/>
      <c r="J1021" s="94"/>
      <c r="K1021" s="94"/>
      <c r="L1021" s="94"/>
      <c r="M1021" s="94"/>
      <c r="N1021" s="94"/>
      <c r="O1021" s="94"/>
      <c r="P1021" s="94"/>
      <c r="Q1021" s="94"/>
      <c r="R1021" s="94"/>
      <c r="S1021" s="94"/>
      <c r="T1021" s="94"/>
      <c r="U1021" s="94"/>
      <c r="V1021" s="94"/>
      <c r="W1021" s="94"/>
      <c r="X1021" s="94"/>
      <c r="Y1021" s="94"/>
      <c r="Z1021" s="94"/>
      <c r="AA1021" s="94"/>
      <c r="AB1021" s="94"/>
      <c r="AC1021" s="94"/>
      <c r="AD1021" s="94"/>
      <c r="AE1021" s="94"/>
      <c r="AF1021" s="94"/>
      <c r="AG1021" s="94"/>
      <c r="AH1021" s="94"/>
      <c r="AI1021" s="94"/>
      <c r="AJ1021" s="94"/>
      <c r="AK1021" s="94"/>
      <c r="AL1021" s="94"/>
      <c r="AM1021" s="94"/>
      <c r="AN1021" s="94"/>
      <c r="AO1021" s="94"/>
      <c r="AP1021" s="94"/>
    </row>
    <row r="1022">
      <c r="A1022" s="96"/>
      <c r="B1022" s="94"/>
      <c r="C1022" s="94"/>
      <c r="D1022" s="94"/>
      <c r="E1022" s="94"/>
      <c r="F1022" s="94"/>
      <c r="G1022" s="94"/>
      <c r="H1022" s="94"/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4"/>
      <c r="U1022" s="94"/>
      <c r="V1022" s="94"/>
      <c r="W1022" s="94"/>
      <c r="X1022" s="94"/>
      <c r="Y1022" s="94"/>
      <c r="Z1022" s="94"/>
      <c r="AA1022" s="94"/>
      <c r="AB1022" s="94"/>
      <c r="AC1022" s="94"/>
      <c r="AD1022" s="94"/>
      <c r="AE1022" s="94"/>
      <c r="AF1022" s="94"/>
      <c r="AG1022" s="94"/>
      <c r="AH1022" s="94"/>
      <c r="AI1022" s="94"/>
      <c r="AJ1022" s="94"/>
      <c r="AK1022" s="94"/>
      <c r="AL1022" s="94"/>
      <c r="AM1022" s="94"/>
      <c r="AN1022" s="94"/>
      <c r="AO1022" s="94"/>
      <c r="AP1022" s="94"/>
    </row>
    <row r="1023">
      <c r="A1023" s="96"/>
      <c r="B1023" s="94"/>
      <c r="C1023" s="94"/>
      <c r="D1023" s="94"/>
      <c r="E1023" s="94"/>
      <c r="F1023" s="94"/>
      <c r="G1023" s="94"/>
      <c r="H1023" s="94"/>
      <c r="I1023" s="94"/>
      <c r="J1023" s="94"/>
      <c r="K1023" s="94"/>
      <c r="L1023" s="94"/>
      <c r="M1023" s="94"/>
      <c r="N1023" s="94"/>
      <c r="O1023" s="94"/>
      <c r="P1023" s="94"/>
      <c r="Q1023" s="94"/>
      <c r="R1023" s="94"/>
      <c r="S1023" s="94"/>
      <c r="T1023" s="94"/>
      <c r="U1023" s="94"/>
      <c r="V1023" s="94"/>
      <c r="W1023" s="94"/>
      <c r="X1023" s="94"/>
      <c r="Y1023" s="94"/>
      <c r="Z1023" s="94"/>
      <c r="AA1023" s="94"/>
      <c r="AB1023" s="94"/>
      <c r="AC1023" s="94"/>
      <c r="AD1023" s="94"/>
      <c r="AE1023" s="94"/>
      <c r="AF1023" s="94"/>
      <c r="AG1023" s="94"/>
      <c r="AH1023" s="94"/>
      <c r="AI1023" s="94"/>
      <c r="AJ1023" s="94"/>
      <c r="AK1023" s="94"/>
      <c r="AL1023" s="94"/>
      <c r="AM1023" s="94"/>
      <c r="AN1023" s="94"/>
      <c r="AO1023" s="94"/>
      <c r="AP1023" s="94"/>
    </row>
    <row r="1024">
      <c r="A1024" s="96"/>
      <c r="B1024" s="94"/>
      <c r="C1024" s="94"/>
      <c r="D1024" s="94"/>
      <c r="E1024" s="94"/>
      <c r="F1024" s="94"/>
      <c r="G1024" s="94"/>
      <c r="H1024" s="94"/>
      <c r="I1024" s="94"/>
      <c r="J1024" s="94"/>
      <c r="K1024" s="94"/>
      <c r="L1024" s="94"/>
      <c r="M1024" s="94"/>
      <c r="N1024" s="94"/>
      <c r="O1024" s="94"/>
      <c r="P1024" s="94"/>
      <c r="Q1024" s="94"/>
      <c r="R1024" s="94"/>
      <c r="S1024" s="94"/>
      <c r="T1024" s="94"/>
      <c r="U1024" s="94"/>
      <c r="V1024" s="94"/>
      <c r="W1024" s="94"/>
      <c r="X1024" s="94"/>
      <c r="Y1024" s="94"/>
      <c r="Z1024" s="94"/>
      <c r="AA1024" s="94"/>
      <c r="AB1024" s="94"/>
      <c r="AC1024" s="94"/>
      <c r="AD1024" s="94"/>
      <c r="AE1024" s="94"/>
      <c r="AF1024" s="94"/>
      <c r="AG1024" s="94"/>
      <c r="AH1024" s="94"/>
      <c r="AI1024" s="94"/>
      <c r="AJ1024" s="94"/>
      <c r="AK1024" s="94"/>
      <c r="AL1024" s="94"/>
      <c r="AM1024" s="94"/>
      <c r="AN1024" s="94"/>
      <c r="AO1024" s="94"/>
      <c r="AP1024" s="94"/>
    </row>
    <row r="1025">
      <c r="A1025" s="96"/>
      <c r="B1025" s="94"/>
      <c r="C1025" s="94"/>
      <c r="D1025" s="94"/>
      <c r="E1025" s="94"/>
      <c r="F1025" s="94"/>
      <c r="G1025" s="94"/>
      <c r="H1025" s="94"/>
      <c r="I1025" s="94"/>
      <c r="J1025" s="94"/>
      <c r="K1025" s="94"/>
      <c r="L1025" s="94"/>
      <c r="M1025" s="94"/>
      <c r="N1025" s="94"/>
      <c r="O1025" s="94"/>
      <c r="P1025" s="94"/>
      <c r="Q1025" s="94"/>
      <c r="R1025" s="94"/>
      <c r="S1025" s="94"/>
      <c r="T1025" s="94"/>
      <c r="U1025" s="94"/>
      <c r="V1025" s="94"/>
      <c r="W1025" s="94"/>
      <c r="X1025" s="94"/>
      <c r="Y1025" s="94"/>
      <c r="Z1025" s="94"/>
      <c r="AA1025" s="94"/>
      <c r="AB1025" s="94"/>
      <c r="AC1025" s="94"/>
      <c r="AD1025" s="94"/>
      <c r="AE1025" s="94"/>
      <c r="AF1025" s="94"/>
      <c r="AG1025" s="94"/>
      <c r="AH1025" s="94"/>
      <c r="AI1025" s="94"/>
      <c r="AJ1025" s="94"/>
      <c r="AK1025" s="94"/>
      <c r="AL1025" s="94"/>
      <c r="AM1025" s="94"/>
      <c r="AN1025" s="94"/>
      <c r="AO1025" s="94"/>
      <c r="AP1025" s="94"/>
    </row>
    <row r="1026">
      <c r="A1026" s="96"/>
      <c r="B1026" s="94"/>
      <c r="C1026" s="94"/>
      <c r="D1026" s="94"/>
      <c r="E1026" s="94"/>
      <c r="F1026" s="94"/>
      <c r="G1026" s="94"/>
      <c r="H1026" s="94"/>
      <c r="I1026" s="94"/>
      <c r="J1026" s="94"/>
      <c r="K1026" s="94"/>
      <c r="L1026" s="94"/>
      <c r="M1026" s="94"/>
      <c r="N1026" s="94"/>
      <c r="O1026" s="94"/>
      <c r="P1026" s="94"/>
      <c r="Q1026" s="94"/>
      <c r="R1026" s="94"/>
      <c r="S1026" s="94"/>
      <c r="T1026" s="94"/>
      <c r="U1026" s="94"/>
      <c r="V1026" s="94"/>
      <c r="W1026" s="94"/>
      <c r="X1026" s="94"/>
      <c r="Y1026" s="94"/>
      <c r="Z1026" s="94"/>
      <c r="AA1026" s="94"/>
      <c r="AB1026" s="94"/>
      <c r="AC1026" s="94"/>
      <c r="AD1026" s="94"/>
      <c r="AE1026" s="94"/>
      <c r="AF1026" s="94"/>
      <c r="AG1026" s="94"/>
      <c r="AH1026" s="94"/>
      <c r="AI1026" s="94"/>
      <c r="AJ1026" s="94"/>
      <c r="AK1026" s="94"/>
      <c r="AL1026" s="94"/>
      <c r="AM1026" s="94"/>
      <c r="AN1026" s="94"/>
      <c r="AO1026" s="94"/>
      <c r="AP1026" s="94"/>
    </row>
    <row r="1027">
      <c r="A1027" s="96"/>
      <c r="B1027" s="94"/>
      <c r="C1027" s="94"/>
      <c r="D1027" s="94"/>
      <c r="E1027" s="94"/>
      <c r="F1027" s="94"/>
      <c r="G1027" s="94"/>
      <c r="H1027" s="94"/>
      <c r="I1027" s="94"/>
      <c r="J1027" s="94"/>
      <c r="K1027" s="94"/>
      <c r="L1027" s="94"/>
      <c r="M1027" s="94"/>
      <c r="N1027" s="94"/>
      <c r="O1027" s="94"/>
      <c r="P1027" s="94"/>
      <c r="Q1027" s="94"/>
      <c r="R1027" s="94"/>
      <c r="S1027" s="94"/>
      <c r="T1027" s="94"/>
      <c r="U1027" s="94"/>
      <c r="V1027" s="94"/>
      <c r="W1027" s="94"/>
      <c r="X1027" s="94"/>
      <c r="Y1027" s="94"/>
      <c r="Z1027" s="94"/>
      <c r="AA1027" s="94"/>
      <c r="AB1027" s="94"/>
      <c r="AC1027" s="94"/>
      <c r="AD1027" s="94"/>
      <c r="AE1027" s="94"/>
      <c r="AF1027" s="94"/>
      <c r="AG1027" s="94"/>
      <c r="AH1027" s="94"/>
      <c r="AI1027" s="94"/>
      <c r="AJ1027" s="94"/>
      <c r="AK1027" s="94"/>
      <c r="AL1027" s="94"/>
      <c r="AM1027" s="94"/>
      <c r="AN1027" s="94"/>
      <c r="AO1027" s="94"/>
      <c r="AP1027" s="94"/>
    </row>
    <row r="1028">
      <c r="A1028" s="96"/>
      <c r="B1028" s="94"/>
      <c r="C1028" s="94"/>
      <c r="D1028" s="94"/>
      <c r="E1028" s="94"/>
      <c r="F1028" s="94"/>
      <c r="G1028" s="94"/>
      <c r="H1028" s="94"/>
      <c r="I1028" s="94"/>
      <c r="J1028" s="94"/>
      <c r="K1028" s="94"/>
      <c r="L1028" s="94"/>
      <c r="M1028" s="94"/>
      <c r="N1028" s="94"/>
      <c r="O1028" s="94"/>
      <c r="P1028" s="94"/>
      <c r="Q1028" s="94"/>
      <c r="R1028" s="94"/>
      <c r="S1028" s="94"/>
      <c r="T1028" s="94"/>
      <c r="U1028" s="94"/>
      <c r="V1028" s="94"/>
      <c r="W1028" s="94"/>
      <c r="X1028" s="94"/>
      <c r="Y1028" s="94"/>
      <c r="Z1028" s="94"/>
      <c r="AA1028" s="94"/>
      <c r="AB1028" s="94"/>
      <c r="AC1028" s="94"/>
      <c r="AD1028" s="94"/>
      <c r="AE1028" s="94"/>
      <c r="AF1028" s="94"/>
      <c r="AG1028" s="94"/>
      <c r="AH1028" s="94"/>
      <c r="AI1028" s="94"/>
      <c r="AJ1028" s="94"/>
      <c r="AK1028" s="94"/>
      <c r="AL1028" s="94"/>
      <c r="AM1028" s="94"/>
      <c r="AN1028" s="94"/>
      <c r="AO1028" s="94"/>
      <c r="AP1028" s="94"/>
    </row>
    <row r="1029">
      <c r="A1029" s="96"/>
      <c r="B1029" s="94"/>
      <c r="C1029" s="94"/>
      <c r="D1029" s="94"/>
      <c r="E1029" s="94"/>
      <c r="F1029" s="94"/>
      <c r="G1029" s="94"/>
      <c r="H1029" s="94"/>
      <c r="I1029" s="94"/>
      <c r="J1029" s="94"/>
      <c r="K1029" s="94"/>
      <c r="L1029" s="94"/>
      <c r="M1029" s="94"/>
      <c r="N1029" s="94"/>
      <c r="O1029" s="94"/>
      <c r="P1029" s="94"/>
      <c r="Q1029" s="94"/>
      <c r="R1029" s="94"/>
      <c r="S1029" s="94"/>
      <c r="T1029" s="94"/>
      <c r="U1029" s="94"/>
      <c r="V1029" s="94"/>
      <c r="W1029" s="94"/>
      <c r="X1029" s="94"/>
      <c r="Y1029" s="94"/>
      <c r="Z1029" s="94"/>
      <c r="AA1029" s="94"/>
      <c r="AB1029" s="94"/>
      <c r="AC1029" s="94"/>
      <c r="AD1029" s="94"/>
      <c r="AE1029" s="94"/>
      <c r="AF1029" s="94"/>
      <c r="AG1029" s="94"/>
      <c r="AH1029" s="94"/>
      <c r="AI1029" s="94"/>
      <c r="AJ1029" s="94"/>
      <c r="AK1029" s="94"/>
      <c r="AL1029" s="94"/>
      <c r="AM1029" s="94"/>
      <c r="AN1029" s="94"/>
      <c r="AO1029" s="94"/>
      <c r="AP1029" s="94"/>
    </row>
    <row r="1030">
      <c r="A1030" s="96"/>
      <c r="B1030" s="94"/>
      <c r="C1030" s="94"/>
      <c r="D1030" s="94"/>
      <c r="E1030" s="94"/>
      <c r="F1030" s="94"/>
      <c r="G1030" s="94"/>
      <c r="H1030" s="94"/>
      <c r="I1030" s="94"/>
      <c r="J1030" s="94"/>
      <c r="K1030" s="94"/>
      <c r="L1030" s="94"/>
      <c r="M1030" s="94"/>
      <c r="N1030" s="94"/>
      <c r="O1030" s="94"/>
      <c r="P1030" s="94"/>
      <c r="Q1030" s="94"/>
      <c r="R1030" s="94"/>
      <c r="S1030" s="94"/>
      <c r="T1030" s="94"/>
      <c r="U1030" s="94"/>
      <c r="V1030" s="94"/>
      <c r="W1030" s="94"/>
      <c r="X1030" s="94"/>
      <c r="Y1030" s="94"/>
      <c r="Z1030" s="94"/>
      <c r="AA1030" s="94"/>
      <c r="AB1030" s="94"/>
      <c r="AC1030" s="94"/>
      <c r="AD1030" s="94"/>
      <c r="AE1030" s="94"/>
      <c r="AF1030" s="94"/>
      <c r="AG1030" s="94"/>
      <c r="AH1030" s="94"/>
      <c r="AI1030" s="94"/>
      <c r="AJ1030" s="94"/>
      <c r="AK1030" s="94"/>
      <c r="AL1030" s="94"/>
      <c r="AM1030" s="94"/>
      <c r="AN1030" s="94"/>
      <c r="AO1030" s="94"/>
      <c r="AP1030" s="94"/>
    </row>
  </sheetData>
  <mergeCells count="26">
    <mergeCell ref="B6:B7"/>
    <mergeCell ref="B9:B10"/>
    <mergeCell ref="A2:A7"/>
    <mergeCell ref="B2:B3"/>
    <mergeCell ref="C2:C3"/>
    <mergeCell ref="B4:B5"/>
    <mergeCell ref="C4:C5"/>
    <mergeCell ref="C6:C7"/>
    <mergeCell ref="C9:C10"/>
    <mergeCell ref="A9:A12"/>
    <mergeCell ref="B11:B12"/>
    <mergeCell ref="A13:A14"/>
    <mergeCell ref="B13:B14"/>
    <mergeCell ref="A15:A17"/>
    <mergeCell ref="B15:B16"/>
    <mergeCell ref="C15:C16"/>
    <mergeCell ref="C34:C35"/>
    <mergeCell ref="C36:C39"/>
    <mergeCell ref="C40:C43"/>
    <mergeCell ref="A19:A22"/>
    <mergeCell ref="A23:A33"/>
    <mergeCell ref="B23:B25"/>
    <mergeCell ref="B26:B29"/>
    <mergeCell ref="B30:B32"/>
    <mergeCell ref="A34:A43"/>
    <mergeCell ref="B34:B43"/>
  </mergeCells>
  <dataValidations>
    <dataValidation type="list" allowBlank="1" showErrorMessage="1" sqref="E169:E172">
      <formula1>"Pending,Ok,Failed"</formula1>
    </dataValidation>
    <dataValidation type="list" allowBlank="1" sqref="E2:AP43">
      <formula1>"PENDING,OK,FAILED"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56.13"/>
    <col customWidth="1" min="3" max="5" width="20.25"/>
    <col customWidth="1" min="6" max="6" width="19.5"/>
    <col customWidth="1" min="7" max="7" width="21.38"/>
  </cols>
  <sheetData>
    <row r="1">
      <c r="A1" s="99" t="s">
        <v>518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</row>
    <row r="3"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</row>
    <row r="5"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</row>
    <row r="8"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</row>
    <row r="9"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</row>
    <row r="10"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</row>
    <row r="11"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</row>
    <row r="12"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</row>
    <row r="13"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</row>
    <row r="16">
      <c r="A16" s="99" t="s">
        <v>521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</row>
    <row r="17"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</row>
    <row r="18"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</row>
    <row r="19"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</row>
    <row r="20"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</row>
    <row r="21"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</row>
    <row r="22"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</row>
    <row r="23"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</row>
    <row r="24"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</row>
    <row r="25"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>
      <c r="A32" s="99" t="s">
        <v>501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</row>
  </sheetData>
  <drawing r:id="rId4"/>
</worksheet>
</file>