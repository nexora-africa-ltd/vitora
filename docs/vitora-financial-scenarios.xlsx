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Inputs" sheetId="2" r:id="rId2"/>
    <sheet name="Customers" sheetId="3" r:id="rId3"/>
    <sheet name="Costs" sheetId="4" r:id="rId4"/>
    <sheet name="Profit and Loss" sheetId="5" r:id="rId5"/>
    <sheet name="Dashboard" sheetId="6" r:id="rId6"/>
    <sheet name="Add-ons" sheetId="7" r:id="rId7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4">
    <xf xfId="0"/>
    <xf xfId="0" fontId="1" applyFont="1"/>
    <xf xfId="0" fontId="1" applyFont="1"/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0" customWidth="1"/>
  </cols>
  <sheetData>
    <row r="1">
      <c r="A1" t="inlineStr" s="1">
        <is>
          <t>Vitora Financial Scenario Model</t>
        </is>
      </c>
    </row>
    <row r="3">
      <c r="A3" t="inlineStr" s="1">
        <is>
          <t>How to use</t>
        </is>
      </c>
    </row>
    <row r="4">
      <c r="A4" t="inlineStr">
        <is>
          <t>1. Change blue input cells in the Inputs tab to test scenarios.</t>
        </is>
      </c>
    </row>
    <row r="5">
      <c r="A5" t="inlineStr">
        <is>
          <t>2. Review customer growth, costs, P&amp;L, and funding headroom in the other tabs.</t>
        </is>
      </c>
    </row>
    <row r="6">
      <c r="A6" t="inlineStr">
        <is>
          <t>3. Clinics and hospitals are shared tenants; only enterprise customers use dedicated environments.</t>
        </is>
      </c>
    </row>
    <row r="7">
      <c r="A7" t="inlineStr">
        <is>
          <t>4. This is an annual planning model. Add a monthly collections and working-capital model before fundraising decisions.</t>
        </is>
      </c>
    </row>
  </sheetData>
</worksheet>
</file>

<file path=xl/worksheets/sheet2.xml><?xml version="1.0" encoding="utf-8"?>
<worksheet xmlns="http://schemas.openxmlformats.org/spreadsheetml/2006/main">
  <cols>
    <col min="1" max="1" width="48" customWidth="1"/>
    <col min="2" max="6" width="18" customWidth="1"/>
  </cols>
  <sheetData>
    <row r="1">
      <c r="A1" t="inlineStr" s="1">
        <is>
          <t>Scenario Inputs</t>
        </is>
      </c>
    </row>
    <row r="2">
      <c r="A2" t="inlineStr" s="2">
        <is>
          <t>Input</t>
        </is>
      </c>
      <c r="B2" t="inlineStr" s="2">
        <is>
          <t>Y1</t>
        </is>
      </c>
      <c r="C2" t="inlineStr" s="2">
        <is>
          <t>Y2</t>
        </is>
      </c>
      <c r="D2" t="inlineStr" s="2">
        <is>
          <t>Y3</t>
        </is>
      </c>
      <c r="E2" t="inlineStr" s="2">
        <is>
          <t>Y4</t>
        </is>
      </c>
      <c r="F2" t="inlineStr" s="2">
        <is>
          <t>Y5</t>
        </is>
      </c>
    </row>
    <row r="3">
      <c r="A3" t="inlineStr">
        <is>
          <t>Scenario revenue multiplier</t>
        </is>
      </c>
      <c r="B3" s="3">
        <v>1</v>
      </c>
      <c r="C3" s="3">
        <v>1</v>
      </c>
      <c r="D3" s="3">
        <v>1</v>
      </c>
      <c r="E3" s="3">
        <v>1</v>
      </c>
      <c r="F3" s="3">
        <v>1</v>
      </c>
    </row>
    <row r="4">
      <c r="A4" t="inlineStr">
        <is>
          <t>Scenario cost multiplier</t>
        </is>
      </c>
      <c r="B4" s="3">
        <v>1</v>
      </c>
      <c r="C4" s="3">
        <v>1</v>
      </c>
      <c r="D4" s="3">
        <v>1</v>
      </c>
      <c r="E4" s="3">
        <v>1</v>
      </c>
      <c r="F4" s="3">
        <v>1</v>
      </c>
    </row>
    <row r="5">
      <c r="A5" t="inlineStr">
        <is>
          <t>Scenario new-customer multiplier</t>
        </is>
      </c>
      <c r="B5" s="3">
        <v>1</v>
      </c>
      <c r="C5" s="3">
        <v>1</v>
      </c>
      <c r="D5" s="3">
        <v>1</v>
      </c>
      <c r="E5" s="3">
        <v>1</v>
      </c>
      <c r="F5" s="3">
        <v>1</v>
      </c>
    </row>
    <row r="6">
      <c r="A6" t="inlineStr">
        <is>
          <t>Total FTE</t>
        </is>
      </c>
      <c r="B6" s="3">
        <v>6</v>
      </c>
      <c r="C6" s="3">
        <v>11</v>
      </c>
      <c r="D6" s="3">
        <v>19</v>
      </c>
      <c r="E6" s="3">
        <v>26</v>
      </c>
      <c r="F6" s="3">
        <v>33</v>
      </c>
    </row>
    <row r="7">
      <c r="A7" t="inlineStr">
        <is>
          <t>All-in FTE cost per month (KES)</t>
        </is>
      </c>
      <c r="B7" s="3">
        <v>100000</v>
      </c>
      <c r="C7" s="3">
        <v>100000</v>
      </c>
      <c r="D7" s="3">
        <v>100000</v>
      </c>
      <c r="E7" s="3">
        <v>100000</v>
      </c>
      <c r="F7" s="3">
        <v>100000</v>
      </c>
    </row>
    <row r="8">
      <c r="A8" t="inlineStr">
        <is>
          <t>Shared cloud baseline per month (KES)</t>
        </is>
      </c>
      <c r="B8" s="3">
        <v>80000</v>
      </c>
      <c r="C8" s="3">
        <v>80000</v>
      </c>
      <c r="D8" s="3">
        <v>80000</v>
      </c>
      <c r="E8" s="3">
        <v>80000</v>
      </c>
      <c r="F8" s="3">
        <v>80000</v>
      </c>
    </row>
    <row r="9">
      <c r="A9" t="inlineStr">
        <is>
          <t>Shared tenant cloud per month (KES)</t>
        </is>
      </c>
      <c r="B9" s="3">
        <v>100</v>
      </c>
      <c r="C9" s="3">
        <v>100</v>
      </c>
      <c r="D9" s="3">
        <v>100</v>
      </c>
      <c r="E9" s="3">
        <v>100</v>
      </c>
      <c r="F9" s="3">
        <v>100</v>
      </c>
    </row>
    <row r="10">
      <c r="A10" t="inlineStr">
        <is>
          <t>Enterprise cloud per month (KES)</t>
        </is>
      </c>
      <c r="B10" s="3">
        <v>10000</v>
      </c>
      <c r="C10" s="3">
        <v>10000</v>
      </c>
      <c r="D10" s="3">
        <v>10000</v>
      </c>
      <c r="E10" s="3">
        <v>10000</v>
      </c>
      <c r="F10" s="3">
        <v>10000</v>
      </c>
    </row>
    <row r="11">
      <c r="A11" t="inlineStr">
        <is>
          <t>Clinic variable CAC (KES)</t>
        </is>
      </c>
      <c r="B11" s="3">
        <v>45000</v>
      </c>
      <c r="C11" s="3">
        <v>45000</v>
      </c>
      <c r="D11" s="3">
        <v>45000</v>
      </c>
      <c r="E11" s="3">
        <v>45000</v>
      </c>
      <c r="F11" s="3">
        <v>45000</v>
      </c>
    </row>
    <row r="12">
      <c r="A12" t="inlineStr">
        <is>
          <t>Hospital variable CAC (KES)</t>
        </is>
      </c>
      <c r="B12" s="3">
        <v>130000</v>
      </c>
      <c r="C12" s="3">
        <v>130000</v>
      </c>
      <c r="D12" s="3">
        <v>130000</v>
      </c>
      <c r="E12" s="3">
        <v>130000</v>
      </c>
      <c r="F12" s="3">
        <v>130000</v>
      </c>
    </row>
    <row r="13">
      <c r="A13" t="inlineStr">
        <is>
          <t>Enterprise variable CAC (KES)</t>
        </is>
      </c>
      <c r="B13" s="3">
        <v>260000</v>
      </c>
      <c r="C13" s="3">
        <v>260000</v>
      </c>
      <c r="D13" s="3">
        <v>260000</v>
      </c>
      <c r="E13" s="3">
        <v>260000</v>
      </c>
      <c r="F13" s="3">
        <v>260000</v>
      </c>
    </row>
    <row r="14">
      <c r="A14" t="inlineStr">
        <is>
          <t>Clinic onboarding (KES)</t>
        </is>
      </c>
      <c r="B14" s="3">
        <v>5000</v>
      </c>
      <c r="C14" s="3">
        <v>5000</v>
      </c>
      <c r="D14" s="3">
        <v>5000</v>
      </c>
      <c r="E14" s="3">
        <v>5000</v>
      </c>
      <c r="F14" s="3">
        <v>5000</v>
      </c>
    </row>
    <row r="15">
      <c r="A15" t="inlineStr">
        <is>
          <t>Hospital onboarding (KES)</t>
        </is>
      </c>
      <c r="B15" s="3">
        <v>15000</v>
      </c>
      <c r="C15" s="3">
        <v>15000</v>
      </c>
      <c r="D15" s="3">
        <v>15000</v>
      </c>
      <c r="E15" s="3">
        <v>15000</v>
      </c>
      <c r="F15" s="3">
        <v>15000</v>
      </c>
    </row>
    <row r="16">
      <c r="A16" t="inlineStr">
        <is>
          <t>Enterprise dedicated deployment (KES)</t>
        </is>
      </c>
      <c r="B16" s="3">
        <v>120000</v>
      </c>
      <c r="C16" s="3">
        <v>120000</v>
      </c>
      <c r="D16" s="3">
        <v>120000</v>
      </c>
      <c r="E16" s="3">
        <v>120000</v>
      </c>
      <c r="F16" s="3">
        <v>120000</v>
      </c>
    </row>
    <row r="17">
      <c r="A17" t="inlineStr">
        <is>
          <t>Shared release and enablement reserve (KES)</t>
        </is>
      </c>
      <c r="B17" s="3">
        <v>500000</v>
      </c>
      <c r="C17" s="3">
        <v>600000</v>
      </c>
      <c r="D17" s="3">
        <v>800000</v>
      </c>
      <c r="E17" s="3">
        <v>1200000</v>
      </c>
      <c r="F17" s="3">
        <v>1600000</v>
      </c>
    </row>
    <row r="18">
      <c r="A18" t="inlineStr">
        <is>
          <t>Office and G&amp;A (KES)</t>
        </is>
      </c>
      <c r="B18" s="3">
        <v>1200000</v>
      </c>
      <c r="C18" s="3">
        <v>1500000</v>
      </c>
      <c r="D18" s="3">
        <v>2400000</v>
      </c>
      <c r="E18" s="3">
        <v>3600000</v>
      </c>
      <c r="F18" s="3">
        <v>4800000</v>
      </c>
    </row>
    <row r="19">
      <c r="A19" t="inlineStr">
        <is>
          <t>Legal, compliance, and governance (KES)</t>
        </is>
      </c>
      <c r="B19" s="3">
        <v>600000</v>
      </c>
      <c r="C19" s="3">
        <v>900000</v>
      </c>
      <c r="D19" s="3">
        <v>1200000</v>
      </c>
      <c r="E19" s="3">
        <v>1800000</v>
      </c>
      <c r="F19" s="3">
        <v>2400000</v>
      </c>
    </row>
    <row r="20">
      <c r="A20" t="inlineStr">
        <is>
          <t>TibaBot delivery reserve (KES)</t>
        </is>
      </c>
      <c r="B20" s="3">
        <v>0</v>
      </c>
      <c r="C20" s="3">
        <v>600000</v>
      </c>
      <c r="D20" s="3">
        <v>1200000</v>
      </c>
      <c r="E20" s="3">
        <v>2400000</v>
      </c>
      <c r="F20" s="3">
        <v>4000000</v>
      </c>
    </row>
    <row r="21">
      <c r="A21" t="inlineStr">
        <is>
          <t>Sales and marketing spend (KES)</t>
        </is>
      </c>
      <c r="B21" s="3">
        <v>1200000</v>
      </c>
      <c r="C21" s="3">
        <v>3000000</v>
      </c>
      <c r="D21" s="3">
        <v>6300000</v>
      </c>
      <c r="E21" s="3">
        <v>9600000</v>
      </c>
      <c r="F21" s="3">
        <v>13200000</v>
      </c>
    </row>
    <row r="22">
      <c r="A22" t="inlineStr">
        <is>
          <t>Funding tranche (KES)</t>
        </is>
      </c>
      <c r="B22" s="3">
        <v>32500000</v>
      </c>
      <c r="C22" s="3">
        <v>32500000</v>
      </c>
      <c r="D22" s="3">
        <v>32500000</v>
      </c>
      <c r="E22" s="3">
        <v>32500000</v>
      </c>
      <c r="F22" s="3">
        <v>32500000</v>
      </c>
    </row>
    <row r="23">
      <c r="A23" t="inlineStr">
        <is>
          <t>KES per US dollar</t>
        </is>
      </c>
      <c r="B23" s="3">
        <v>130</v>
      </c>
      <c r="C23" s="3">
        <v>130</v>
      </c>
      <c r="D23" s="3">
        <v>130</v>
      </c>
      <c r="E23" s="3">
        <v>130</v>
      </c>
      <c r="F23" s="3">
        <v>130</v>
      </c>
    </row>
  </sheetData>
</worksheet>
</file>

<file path=xl/worksheets/sheet3.xml><?xml version="1.0" encoding="utf-8"?>
<worksheet xmlns="http://schemas.openxmlformats.org/spreadsheetml/2006/main">
  <cols>
    <col min="1" max="1" width="48" customWidth="1"/>
    <col min="2" max="6" width="18" customWidth="1"/>
  </cols>
  <sheetData>
    <row r="1">
      <c r="A1" t="inlineStr" s="1">
        <is>
          <t>Customer Growth and Revenue</t>
        </is>
      </c>
    </row>
    <row r="2">
      <c r="A2" t="inlineStr" s="2">
        <is>
          <t>Metric</t>
        </is>
      </c>
      <c r="B2" t="inlineStr" s="2">
        <is>
          <t>Y1</t>
        </is>
      </c>
      <c r="C2" t="inlineStr" s="2">
        <is>
          <t>Y2</t>
        </is>
      </c>
      <c r="D2" t="inlineStr" s="2">
        <is>
          <t>Y3</t>
        </is>
      </c>
      <c r="E2" t="inlineStr" s="2">
        <is>
          <t>Y4</t>
        </is>
      </c>
      <c r="F2" t="inlineStr" s="2">
        <is>
          <t>Y5</t>
        </is>
      </c>
    </row>
    <row r="3">
      <c r="A3" t="inlineStr">
        <is>
          <t>New clinics</t>
        </is>
      </c>
      <c r="B3" s="3">
        <v>15</v>
      </c>
      <c r="C3" s="3">
        <v>55</v>
      </c>
      <c r="D3" s="3">
        <v>120</v>
      </c>
      <c r="E3" s="3">
        <v>180</v>
      </c>
      <c r="F3" s="3">
        <v>234</v>
      </c>
    </row>
    <row r="4">
      <c r="A4" t="inlineStr">
        <is>
          <t>New hospitals</t>
        </is>
      </c>
      <c r="B4" s="3">
        <v>3</v>
      </c>
      <c r="C4" s="3">
        <v>14</v>
      </c>
      <c r="D4" s="3">
        <v>40</v>
      </c>
      <c r="E4" s="3">
        <v>48</v>
      </c>
      <c r="F4" s="3">
        <v>60</v>
      </c>
    </row>
    <row r="5">
      <c r="A5" t="inlineStr">
        <is>
          <t>New enterprise</t>
        </is>
      </c>
      <c r="B5" s="3">
        <v>0</v>
      </c>
      <c r="C5" s="3">
        <v>3</v>
      </c>
      <c r="D5" s="3">
        <v>6</v>
      </c>
      <c r="E5" s="3">
        <v>9</v>
      </c>
      <c r="F5" s="3">
        <v>12</v>
      </c>
    </row>
    <row r="6">
      <c r="A6" t="inlineStr">
        <is>
          <t>Churned customers</t>
        </is>
      </c>
      <c r="B6" s="3">
        <v>3</v>
      </c>
      <c r="C6" s="3">
        <v>9</v>
      </c>
      <c r="D6" s="3">
        <v>19</v>
      </c>
      <c r="E6" s="3">
        <v>24</v>
      </c>
      <c r="F6" s="3">
        <v>29</v>
      </c>
    </row>
    <row r="7">
      <c r="A7" t="inlineStr">
        <is>
          <t>Ending clinics</t>
        </is>
      </c>
      <c r="B7" s="3">
        <v>12</v>
      </c>
      <c r="C7" s="3">
        <v>58</v>
      </c>
      <c r="D7" s="3">
        <v>160</v>
      </c>
      <c r="E7" s="3">
        <v>320</v>
      </c>
      <c r="F7" s="3">
        <v>525</v>
      </c>
    </row>
    <row r="8">
      <c r="A8" t="inlineStr">
        <is>
          <t>Ending hospitals</t>
        </is>
      </c>
      <c r="B8" s="3">
        <v>3</v>
      </c>
      <c r="C8" s="3">
        <v>17</v>
      </c>
      <c r="D8" s="3">
        <v>56</v>
      </c>
      <c r="E8" s="3">
        <v>100</v>
      </c>
      <c r="F8" s="3">
        <v>160</v>
      </c>
    </row>
    <row r="9">
      <c r="A9" t="inlineStr">
        <is>
          <t>Ending enterprise</t>
        </is>
      </c>
      <c r="B9" s="3">
        <v>0</v>
      </c>
      <c r="C9" s="3">
        <v>3</v>
      </c>
      <c r="D9" s="3">
        <v>9</v>
      </c>
      <c r="E9" s="3">
        <v>18</v>
      </c>
      <c r="F9" s="3">
        <v>30</v>
      </c>
    </row>
    <row r="10">
      <c r="A10" t="inlineStr">
        <is>
          <t>Total active customers</t>
        </is>
      </c>
      <c r="B10" s="3">
        <v>15</v>
      </c>
      <c r="C10" s="3">
        <v>78</v>
      </c>
      <c r="D10" s="3">
        <v>225</v>
      </c>
      <c r="E10" s="3">
        <v>438</v>
      </c>
      <c r="F10" s="3">
        <v>715</v>
      </c>
    </row>
    <row r="11">
      <c r="A11" t="inlineStr">
        <is>
          <t>Clinic MRR incl. expected add-ons (KES)</t>
        </is>
      </c>
      <c r="B11" s="3">
        <f>8999+'Add-ons'!$B$8</f>
      </c>
      <c r="C11" s="3">
        <f>8999+'Add-ons'!$B$8</f>
      </c>
      <c r="D11" s="3">
        <f>8999+'Add-ons'!$B$8</f>
      </c>
      <c r="E11" s="3">
        <f>8999+'Add-ons'!$B$8</f>
      </c>
      <c r="F11" s="3">
        <f>8999+'Add-ons'!$B$8</f>
      </c>
    </row>
    <row r="12">
      <c r="A12" t="inlineStr">
        <is>
          <t>Hospital MRR incl. expected add-ons (KES)</t>
        </is>
      </c>
      <c r="B12" s="3">
        <f>49999+'Add-ons'!$B$8</f>
      </c>
      <c r="C12" s="3">
        <f>49999+'Add-ons'!$B$8</f>
      </c>
      <c r="D12" s="3">
        <f>49999+'Add-ons'!$B$8</f>
      </c>
      <c r="E12" s="3">
        <f>49999+'Add-ons'!$B$8</f>
      </c>
      <c r="F12" s="3">
        <f>49999+'Add-ons'!$B$8</f>
      </c>
    </row>
    <row r="13">
      <c r="A13" t="inlineStr">
        <is>
          <t>Enterprise MRR incl. expected add-ons (KES)</t>
        </is>
      </c>
      <c r="B13" s="3">
        <f>80000+'Add-ons'!$B$8</f>
      </c>
      <c r="C13" s="3">
        <f>80000+'Add-ons'!$B$8</f>
      </c>
      <c r="D13" s="3">
        <f>80000+'Add-ons'!$B$8</f>
      </c>
      <c r="E13" s="3">
        <f>80000+'Add-ons'!$B$8</f>
      </c>
      <c r="F13" s="3">
        <f>80000+'Add-ons'!$B$8</f>
      </c>
    </row>
    <row r="15">
      <c r="A15" t="inlineStr">
        <is>
          <t>Average clinics</t>
        </is>
      </c>
      <c r="B15">
        <f>B7/2</f>
      </c>
      <c r="C15">
        <f>(B7+C7)/2</f>
      </c>
      <c r="D15">
        <f>(C7+D7)/2</f>
      </c>
      <c r="E15">
        <f>(D7+E7)/2</f>
      </c>
      <c r="F15">
        <f>(E7+F7)/2</f>
      </c>
    </row>
    <row r="16">
      <c r="A16" t="inlineStr">
        <is>
          <t>Average hospitals</t>
        </is>
      </c>
      <c r="B16">
        <f>B8/2</f>
      </c>
      <c r="C16">
        <f>(B8+C8)/2</f>
      </c>
      <c r="D16">
        <f>(C8+D8)/2</f>
      </c>
      <c r="E16">
        <f>(D8+E8)/2</f>
      </c>
      <c r="F16">
        <f>(E8+F8)/2</f>
      </c>
    </row>
    <row r="17">
      <c r="A17" t="inlineStr">
        <is>
          <t>Average enterprise</t>
        </is>
      </c>
      <c r="B17">
        <f>B9/2</f>
      </c>
      <c r="C17">
        <f>(B9+C9)/2</f>
      </c>
      <c r="D17">
        <f>(C9+D9)/2</f>
      </c>
      <c r="E17">
        <f>(D9+E9)/2</f>
      </c>
      <c r="F17">
        <f>(E9+F9)/2</f>
      </c>
    </row>
    <row r="18">
      <c r="A18" t="inlineStr" s="2">
        <is>
          <t>Annual revenue (KES)</t>
        </is>
      </c>
      <c r="B18" s="2">
        <f>((B15*B11*12)+(B16*B12*12)+(B17*B13*12))*Inputs!B3</f>
      </c>
      <c r="C18" s="2">
        <f>((C15*C11*12)+(C16*C12*12)+(C17*C13*12))*Inputs!C3</f>
      </c>
      <c r="D18" s="2">
        <f>((D15*D11*12)+(D16*D12*12)+(D17*D13*12))*Inputs!D3</f>
      </c>
      <c r="E18" s="2">
        <f>((E15*E11*12)+(E16*E12*12)+(E17*E13*12))*Inputs!E3</f>
      </c>
      <c r="F18" s="2">
        <f>((F15*F11*12)+(F16*F12*12)+(F17*F13*12))*Inputs!F3</f>
      </c>
    </row>
  </sheetData>
</worksheet>
</file>

<file path=xl/worksheets/sheet4.xml><?xml version="1.0" encoding="utf-8"?>
<worksheet xmlns="http://schemas.openxmlformats.org/spreadsheetml/2006/main">
  <cols>
    <col min="1" max="1" width="48" customWidth="1"/>
    <col min="2" max="6" width="18" customWidth="1"/>
  </cols>
  <sheetData>
    <row r="1">
      <c r="A1" t="inlineStr" s="1">
        <is>
          <t>Driver-Based Costs</t>
        </is>
      </c>
    </row>
    <row r="2">
      <c r="A2" t="inlineStr" s="2">
        <is>
          <t>Cost Category</t>
        </is>
      </c>
      <c r="B2" t="inlineStr" s="2">
        <is>
          <t>Y1</t>
        </is>
      </c>
      <c r="C2" t="inlineStr" s="2">
        <is>
          <t>Y2</t>
        </is>
      </c>
      <c r="D2" t="inlineStr" s="2">
        <is>
          <t>Y3</t>
        </is>
      </c>
      <c r="E2" t="inlineStr" s="2">
        <is>
          <t>Y4</t>
        </is>
      </c>
      <c r="F2" t="inlineStr" s="2">
        <is>
          <t>Y5</t>
        </is>
      </c>
    </row>
    <row r="3">
      <c r="A3" t="inlineStr">
        <is>
          <t>Product, commercial, and G&amp;A payroll (KES)</t>
        </is>
      </c>
      <c r="B3">
        <f>(Inputs!B6-1)*Inputs!B7*12</f>
      </c>
      <c r="C3">
        <f>(Inputs!C6-2)*Inputs!C7*12</f>
      </c>
      <c r="D3">
        <f>(Inputs!D6-3)*Inputs!D7*12</f>
      </c>
      <c r="E3">
        <f>(Inputs!E6-5)*Inputs!E7*12</f>
      </c>
      <c r="F3">
        <f>(Inputs!F6-7)*Inputs!F7*12</f>
      </c>
    </row>
    <row r="4">
      <c r="A4" t="inlineStr">
        <is>
          <t>Support payroll in delivery COGS (KES)</t>
        </is>
      </c>
      <c r="B4">
        <f>1*Inputs!B7*12</f>
      </c>
      <c r="C4">
        <f>2*Inputs!C7*12</f>
      </c>
      <c r="D4">
        <f>3*Inputs!D7*12</f>
      </c>
      <c r="E4">
        <f>5*Inputs!E7*12</f>
      </c>
      <c r="F4">
        <f>7*Inputs!F7*12</f>
      </c>
    </row>
    <row r="5">
      <c r="A5" t="inlineStr">
        <is>
          <t>Shared cloud platform (KES)</t>
        </is>
      </c>
      <c r="B5">
        <f>Inputs!B8*12+((Customers!B15+Customers!B16)*Inputs!B9*12)</f>
      </c>
      <c r="C5">
        <f>Inputs!C8*12+((Customers!C15+Customers!C16)*Inputs!C9*12)</f>
      </c>
      <c r="D5">
        <f>Inputs!D8*12+((Customers!D15+Customers!D16)*Inputs!D9*12)</f>
      </c>
      <c r="E5">
        <f>Inputs!E8*12+((Customers!E15+Customers!E16)*Inputs!E9*12)</f>
      </c>
      <c r="F5">
        <f>Inputs!F8*12+((Customers!F15+Customers!F16)*Inputs!F9*12)</f>
      </c>
    </row>
    <row r="6">
      <c r="A6" t="inlineStr">
        <is>
          <t>Enterprise cloud environments (KES)</t>
        </is>
      </c>
      <c r="B6">
        <f>Customers!B17*Inputs!B10*12</f>
      </c>
      <c r="C6">
        <f>Customers!C17*Inputs!C10*12</f>
      </c>
      <c r="D6">
        <f>Customers!D17*Inputs!D10*12</f>
      </c>
      <c r="E6">
        <f>Customers!E17*Inputs!E10*12</f>
      </c>
      <c r="F6">
        <f>Customers!F17*Inputs!F10*12</f>
      </c>
    </row>
    <row r="7">
      <c r="A7" t="inlineStr">
        <is>
          <t>Sales and marketing spend (KES)</t>
        </is>
      </c>
      <c r="B7">
        <f>Inputs!B21</f>
      </c>
      <c r="C7">
        <f>Inputs!C21</f>
      </c>
      <c r="D7">
        <f>Inputs!D21</f>
      </c>
      <c r="E7">
        <f>Inputs!E21</f>
      </c>
      <c r="F7">
        <f>Inputs!F21</f>
      </c>
    </row>
    <row r="8">
      <c r="A8" t="inlineStr">
        <is>
          <t>Shared tenant onboarding (KES)</t>
        </is>
      </c>
      <c r="B8">
        <f>Customers!B3*Inputs!B14+Customers!B4*Inputs!B15</f>
      </c>
      <c r="C8">
        <f>Customers!C3*Inputs!C14+Customers!C4*Inputs!C15</f>
      </c>
      <c r="D8">
        <f>Customers!D3*Inputs!D14+Customers!D4*Inputs!D15</f>
      </c>
      <c r="E8">
        <f>Customers!E3*Inputs!E14+Customers!E4*Inputs!E15</f>
      </c>
      <c r="F8">
        <f>Customers!F3*Inputs!F14+Customers!F4*Inputs!F15</f>
      </c>
    </row>
    <row r="9">
      <c r="A9" t="inlineStr">
        <is>
          <t>Enterprise deployment (KES)</t>
        </is>
      </c>
      <c r="B9">
        <f>Customers!B5*Inputs!B16</f>
      </c>
      <c r="C9">
        <f>Customers!C5*Inputs!C16</f>
      </c>
      <c r="D9">
        <f>Customers!D5*Inputs!D16</f>
      </c>
      <c r="E9">
        <f>Customers!E5*Inputs!E16</f>
      </c>
      <c r="F9">
        <f>Customers!F5*Inputs!F16</f>
      </c>
    </row>
    <row r="10">
      <c r="A10" t="inlineStr">
        <is>
          <t>Shared release and enablement (KES)</t>
        </is>
      </c>
      <c r="B10">
        <f>Inputs!B17</f>
      </c>
      <c r="C10">
        <f>Inputs!C17</f>
      </c>
      <c r="D10">
        <f>Inputs!D17</f>
      </c>
      <c r="E10">
        <f>Inputs!E17</f>
      </c>
      <c r="F10">
        <f>Inputs!F17</f>
      </c>
    </row>
    <row r="11">
      <c r="A11" t="inlineStr">
        <is>
          <t>Office and G&amp;A (KES)</t>
        </is>
      </c>
      <c r="B11">
        <f>Inputs!B18</f>
      </c>
      <c r="C11">
        <f>Inputs!C18</f>
      </c>
      <c r="D11">
        <f>Inputs!D18</f>
      </c>
      <c r="E11">
        <f>Inputs!E18</f>
      </c>
      <c r="F11">
        <f>Inputs!F18</f>
      </c>
    </row>
    <row r="12">
      <c r="A12" t="inlineStr">
        <is>
          <t>Legal, compliance, and governance (KES)</t>
        </is>
      </c>
      <c r="B12">
        <f>Inputs!B19</f>
      </c>
      <c r="C12">
        <f>Inputs!C19</f>
      </c>
      <c r="D12">
        <f>Inputs!D19</f>
      </c>
      <c r="E12">
        <f>Inputs!E19</f>
      </c>
      <c r="F12">
        <f>Inputs!F19</f>
      </c>
    </row>
    <row r="13">
      <c r="A13" t="inlineStr">
        <is>
          <t>TibaBot delivery reserve (KES)</t>
        </is>
      </c>
      <c r="B13">
        <f>Inputs!B20</f>
      </c>
      <c r="C13">
        <f>Inputs!C20</f>
      </c>
      <c r="D13">
        <f>Inputs!D20</f>
      </c>
      <c r="E13">
        <f>Inputs!E20</f>
      </c>
      <c r="F13">
        <f>Inputs!F20</f>
      </c>
    </row>
    <row r="14">
      <c r="A14" t="inlineStr" s="2">
        <is>
          <t>Total operating costs (KES)</t>
        </is>
      </c>
      <c r="B14" s="2">
        <f>SUM(B3:B13)*Inputs!B4</f>
      </c>
      <c r="C14" s="2">
        <f>SUM(C3:C13)*Inputs!C4</f>
      </c>
      <c r="D14" s="2">
        <f>SUM(D3:D13)*Inputs!D4</f>
      </c>
      <c r="E14" s="2">
        <f>SUM(E3:E13)*Inputs!E4</f>
      </c>
      <c r="F14" s="2">
        <f>SUM(F3:F13)*Inputs!F4</f>
      </c>
    </row>
    <row r="15">
      <c r="A15" t="inlineStr" s="2">
        <is>
          <t>Delivery COGS (KES)</t>
        </is>
      </c>
      <c r="B15" s="2">
        <f>SUM(B4:B6,B8:B10,B13)*Inputs!B4</f>
      </c>
      <c r="C15" s="2">
        <f>SUM(C4:C6,C8:C10,C13)*Inputs!C4</f>
      </c>
      <c r="D15" s="2">
        <f>SUM(D4:D6,D8:D10,D13)*Inputs!D4</f>
      </c>
      <c r="E15" s="2">
        <f>SUM(E4:E6,E8:E10,E13)*Inputs!E4</f>
      </c>
      <c r="F15" s="2">
        <f>SUM(F4:F6,F8:F10,F13)*Inputs!F4</f>
      </c>
    </row>
  </sheetData>
</worksheet>
</file>

<file path=xl/worksheets/sheet5.xml><?xml version="1.0" encoding="utf-8"?>
<worksheet xmlns="http://schemas.openxmlformats.org/spreadsheetml/2006/main">
  <cols>
    <col min="1" max="1" width="48" customWidth="1"/>
    <col min="2" max="6" width="18" customWidth="1"/>
  </cols>
  <sheetData>
    <row r="1">
      <c r="A1" t="inlineStr" s="1">
        <is>
          <t>Profit and Loss</t>
        </is>
      </c>
    </row>
    <row r="2">
      <c r="A2" t="inlineStr" s="2">
        <is>
          <t>Metric</t>
        </is>
      </c>
      <c r="B2" t="inlineStr" s="2">
        <is>
          <t>Y1</t>
        </is>
      </c>
      <c r="C2" t="inlineStr" s="2">
        <is>
          <t>Y2</t>
        </is>
      </c>
      <c r="D2" t="inlineStr" s="2">
        <is>
          <t>Y3</t>
        </is>
      </c>
      <c r="E2" t="inlineStr" s="2">
        <is>
          <t>Y4</t>
        </is>
      </c>
      <c r="F2" t="inlineStr" s="2">
        <is>
          <t>Y5</t>
        </is>
      </c>
    </row>
    <row r="3">
      <c r="A3" t="inlineStr">
        <is>
          <t>Revenue (KES)</t>
        </is>
      </c>
      <c r="B3">
        <f>Customers!B18</f>
      </c>
      <c r="C3">
        <f>Customers!C18</f>
      </c>
      <c r="D3">
        <f>Customers!D18</f>
      </c>
      <c r="E3">
        <f>Customers!E18</f>
      </c>
      <c r="F3">
        <f>Customers!F18</f>
      </c>
    </row>
    <row r="4">
      <c r="A4" t="inlineStr">
        <is>
          <t>Delivery COGS (KES)</t>
        </is>
      </c>
      <c r="B4">
        <f>Costs!B15</f>
      </c>
      <c r="C4">
        <f>Costs!C15</f>
      </c>
      <c r="D4">
        <f>Costs!D15</f>
      </c>
      <c r="E4">
        <f>Costs!E15</f>
      </c>
      <c r="F4">
        <f>Costs!F15</f>
      </c>
    </row>
    <row r="5">
      <c r="A5" t="inlineStr" s="2">
        <is>
          <t>Gross profit (KES)</t>
        </is>
      </c>
      <c r="B5" s="2">
        <f>B3-B4</f>
      </c>
      <c r="C5" s="2">
        <f>C3-C4</f>
      </c>
      <c r="D5" s="2">
        <f>D3-D4</f>
      </c>
      <c r="E5" s="2">
        <f>E3-E4</f>
      </c>
      <c r="F5" s="2">
        <f>F3-F4</f>
      </c>
    </row>
    <row r="6">
      <c r="A6" t="inlineStr">
        <is>
          <t>Gross margin</t>
        </is>
      </c>
      <c r="B6">
        <f>IFERROR(B5/B3,0)</f>
      </c>
      <c r="C6">
        <f>IFERROR(C5/C3,0)</f>
      </c>
      <c r="D6">
        <f>IFERROR(D5/D3,0)</f>
      </c>
      <c r="E6">
        <f>IFERROR(E5/E3,0)</f>
      </c>
      <c r="F6">
        <f>IFERROR(F5/F3,0)</f>
      </c>
    </row>
    <row r="7">
      <c r="A7" t="inlineStr">
        <is>
          <t>Operating costs (KES)</t>
        </is>
      </c>
      <c r="B7">
        <f>Costs!B14</f>
      </c>
      <c r="C7">
        <f>Costs!C14</f>
      </c>
      <c r="D7">
        <f>Costs!D14</f>
      </c>
      <c r="E7">
        <f>Costs!E14</f>
      </c>
      <c r="F7">
        <f>Costs!F14</f>
      </c>
    </row>
    <row r="8">
      <c r="A8" t="inlineStr" s="2">
        <is>
          <t>EBITDA (KES)</t>
        </is>
      </c>
      <c r="B8" s="2">
        <f>B3-B7</f>
      </c>
      <c r="C8" s="2">
        <f>C3-C7</f>
      </c>
      <c r="D8" s="2">
        <f>D3-D7</f>
      </c>
      <c r="E8" s="2">
        <f>E3-E7</f>
      </c>
      <c r="F8" s="2">
        <f>F3-F7</f>
      </c>
    </row>
    <row r="9">
      <c r="A9" t="inlineStr" s="2">
        <is>
          <t>Cumulative operating result (KES)</t>
        </is>
      </c>
      <c r="B9" s="2">
        <f>B8</f>
      </c>
      <c r="C9" s="2">
        <f>B9+C8</f>
      </c>
      <c r="D9" s="2">
        <f>C9+D8</f>
      </c>
      <c r="E9" s="2">
        <f>D9+E8</f>
      </c>
      <c r="F9" s="2">
        <f>E9+F8</f>
      </c>
    </row>
    <row r="10">
      <c r="A10" t="inlineStr" s="2">
        <is>
          <t>Funding headroom (KES)</t>
        </is>
      </c>
      <c r="B10" s="2">
        <f>Inputs!B22+MIN($B$9:B9)</f>
      </c>
      <c r="C10" s="2">
        <f>Inputs!C22+MIN($B$9:C9)</f>
      </c>
      <c r="D10" s="2">
        <f>Inputs!D22+MIN($B$9:D9)</f>
      </c>
      <c r="E10" s="2">
        <f>Inputs!E22+MIN($B$9:E9)</f>
      </c>
      <c r="F10" s="2">
        <f>Inputs!F22+MIN($B$9:F9)</f>
      </c>
    </row>
  </sheetData>
</worksheet>
</file>

<file path=xl/worksheets/sheet6.xml><?xml version="1.0" encoding="utf-8"?>
<worksheet xmlns="http://schemas.openxmlformats.org/spreadsheetml/2006/main">
  <cols>
    <col min="1" max="1" width="48" customWidth="1"/>
    <col min="2" max="2" width="30" customWidth="1"/>
  </cols>
  <sheetData>
    <row r="1">
      <c r="A1" t="inlineStr" s="1">
        <is>
          <t>Scenario Dashboard</t>
        </is>
      </c>
    </row>
    <row r="3">
      <c r="A3" t="inlineStr" s="2">
        <is>
          <t>Metric</t>
        </is>
      </c>
      <c r="B3" t="inlineStr" s="2">
        <is>
          <t>Base scenario output</t>
        </is>
      </c>
    </row>
    <row r="4">
      <c r="A4" t="inlineStr">
        <is>
          <t>Peak operating deficit (KES)</t>
        </is>
      </c>
      <c r="B4" s="2">
        <f>-MIN('Profit and Loss'!B9:F9)</f>
      </c>
    </row>
    <row r="5">
      <c r="A5" t="inlineStr">
        <is>
          <t>Peak operating deficit (USD)</t>
        </is>
      </c>
      <c r="B5" s="2">
        <f>B4/Inputs!B23</f>
      </c>
    </row>
    <row r="6">
      <c r="A6" t="inlineStr">
        <is>
          <t>Funding tranche (KES)</t>
        </is>
      </c>
      <c r="B6" s="2">
        <f>Inputs!B22</f>
      </c>
    </row>
    <row r="7">
      <c r="A7" t="inlineStr">
        <is>
          <t>Annual-model headroom (KES)</t>
        </is>
      </c>
      <c r="B7" s="2">
        <f>B6-B4</f>
      </c>
    </row>
    <row r="8">
      <c r="A8" t="inlineStr">
        <is>
          <t>First positive EBITDA year</t>
        </is>
      </c>
      <c r="B8" s="2">
        <f>IF('Profit and Loss'!B8&gt;0,"Y1",IF('Profit and Loss'!C8&gt;0,"Y2",IF('Profit and Loss'!D8&gt;0,"Y3",IF('Profit and Loss'!E8&gt;0,"Y4","Y5"))))</f>
      </c>
    </row>
    <row r="9">
      <c r="A9" t="inlineStr">
        <is>
          <t>Year 5 EBITDA (KES)</t>
        </is>
      </c>
      <c r="B9" s="2">
        <f>'Profit and Loss'!F8</f>
      </c>
    </row>
    <row r="10">
      <c r="A10" t="inlineStr">
        <is>
          <t>Year 5 active customers</t>
        </is>
      </c>
      <c r="B10" s="2">
        <f>Customers!F10</f>
      </c>
    </row>
    <row r="12">
      <c r="A12" t="inlineStr" s="1">
        <is>
          <t>Scenario controls</t>
        </is>
      </c>
    </row>
    <row r="13">
      <c r="A13" t="inlineStr">
        <is>
          <t>Edit Inputs!B3:F5 to test revenue, cost, and customer-growth multipliers.</t>
        </is>
      </c>
    </row>
  </sheetData>
</worksheet>
</file>

<file path=xl/worksheets/sheet7.xml><?xml version="1.0" encoding="utf-8"?>
<worksheet xmlns="http://schemas.openxmlformats.org/spreadsheetml/2006/main">
  <cols>
    <col min="1" max="1" width="36" customWidth="1"/>
    <col min="2" max="4" width="26" customWidth="1"/>
  </cols>
  <sheetData>
    <row r="1">
      <c r="A1" t="inlineStr" s="1">
        <is>
          <t>Add-On Module Logic</t>
        </is>
      </c>
    </row>
    <row r="2">
      <c r="A2" t="inlineStr" s="2">
        <is>
          <t>Module</t>
        </is>
      </c>
      <c r="B2" t="inlineStr" s="2">
        <is>
          <t>Monthly price (KES)</t>
        </is>
      </c>
      <c r="C2" t="inlineStr" s="2">
        <is>
          <t>Attach rate</t>
        </is>
      </c>
      <c r="D2" t="inlineStr" s="2">
        <is>
          <t>Expected MRR contribution (KES)</t>
        </is>
      </c>
    </row>
    <row r="3">
      <c r="A3" t="inlineStr">
        <is>
          <t>TibaBot AI</t>
        </is>
      </c>
      <c r="B3" s="3">
        <v>5000</v>
      </c>
      <c r="C3" s="3">
        <v>0.35</v>
      </c>
      <c r="D3" s="2">
        <f>B3*C3</f>
      </c>
    </row>
    <row r="4">
      <c r="A4" t="inlineStr">
        <is>
          <t>Offline Sync</t>
        </is>
      </c>
      <c r="B4" s="3">
        <v>3000</v>
      </c>
      <c r="C4" s="3">
        <v>0.45</v>
      </c>
      <c r="D4" s="2">
        <f>B4*C4</f>
      </c>
    </row>
    <row r="5">
      <c r="A5" t="inlineStr">
        <is>
          <t>Advanced LIS</t>
        </is>
      </c>
      <c r="B5" s="3">
        <v>7000</v>
      </c>
      <c r="C5" s="3">
        <v>0.2</v>
      </c>
      <c r="D5" s="2">
        <f>B5*C5</f>
      </c>
    </row>
    <row r="6">
      <c r="A6" t="inlineStr">
        <is>
          <t>SMS &amp; WhatsApp</t>
        </is>
      </c>
      <c r="B6" s="3">
        <v>2500</v>
      </c>
      <c r="C6" s="3">
        <f>0.25</f>
      </c>
      <c r="D6" s="2">
        <f>B6*C6</f>
      </c>
    </row>
    <row r="8">
      <c r="A8" t="inlineStr" s="1">
        <is>
          <t>Expected add-on MRR per customer (KES)</t>
        </is>
      </c>
      <c r="B8" s="2">
        <f>SUM(D3:D6)</f>
      </c>
    </row>
    <row r="10">
      <c r="A10" t="inlineStr" s="1">
        <is>
          <t>Use</t>
        </is>
      </c>
    </row>
    <row r="11">
      <c r="A11" t="inlineStr">
        <is>
          <t>Update prices and attach rates to simulate add-on adoption. Customer MRR in the Customers tab updates automatically.</t>
        </is>
      </c>
    </row>
  </sheetData>
</worksheet>
</file>